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3e037593dbf350/Desktop/Sql/"/>
    </mc:Choice>
  </mc:AlternateContent>
  <xr:revisionPtr revIDLastSave="502" documentId="8_{927719A9-48EE-48B7-9674-2E9B161B92F6}" xr6:coauthVersionLast="47" xr6:coauthVersionMax="47" xr10:uidLastSave="{80332065-E485-41E3-A049-8723AC8D07D9}"/>
  <bookViews>
    <workbookView xWindow="-108" yWindow="-108" windowWidth="23256" windowHeight="12456" xr2:uid="{F3E9EEF7-23DE-427E-A0DC-BF3EEB609A91}"/>
  </bookViews>
  <sheets>
    <sheet name="Hotel" sheetId="1" r:id="rId1"/>
    <sheet name="Inspec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" i="1" l="1"/>
  <c r="M2" i="3"/>
  <c r="O2" i="3" s="1"/>
  <c r="N2" i="3"/>
  <c r="M3" i="3"/>
  <c r="N3" i="3"/>
  <c r="O3" i="3"/>
  <c r="M4" i="3"/>
  <c r="N4" i="3"/>
  <c r="O4" i="3"/>
  <c r="M5" i="3"/>
  <c r="N5" i="3"/>
  <c r="O5" i="3"/>
  <c r="M6" i="3"/>
  <c r="O6" i="3" s="1"/>
  <c r="N6" i="3"/>
  <c r="M7" i="3"/>
  <c r="O7" i="3" s="1"/>
  <c r="N7" i="3"/>
  <c r="M8" i="3"/>
  <c r="N8" i="3"/>
  <c r="O8" i="3"/>
  <c r="M9" i="3"/>
  <c r="N9" i="3"/>
  <c r="O9" i="3"/>
  <c r="M10" i="3"/>
  <c r="O10" i="3" s="1"/>
  <c r="N10" i="3"/>
  <c r="M11" i="3"/>
  <c r="N11" i="3"/>
  <c r="O11" i="3"/>
  <c r="M12" i="3"/>
  <c r="N12" i="3"/>
  <c r="O12" i="3"/>
  <c r="M13" i="3"/>
  <c r="N13" i="3"/>
  <c r="O13" i="3"/>
  <c r="M14" i="3"/>
  <c r="O14" i="3" s="1"/>
  <c r="N14" i="3"/>
  <c r="M15" i="3"/>
  <c r="O15" i="3" s="1"/>
  <c r="N15" i="3"/>
  <c r="M16" i="3"/>
  <c r="N16" i="3"/>
  <c r="O16" i="3"/>
  <c r="M17" i="3"/>
  <c r="N17" i="3"/>
  <c r="O17" i="3"/>
  <c r="M18" i="3"/>
  <c r="O18" i="3" s="1"/>
  <c r="N18" i="3"/>
  <c r="M19" i="3"/>
  <c r="O19" i="3" s="1"/>
  <c r="N19" i="3"/>
  <c r="M20" i="3"/>
  <c r="N20" i="3"/>
  <c r="O20" i="3"/>
  <c r="M21" i="3"/>
  <c r="N21" i="3"/>
  <c r="O21" i="3"/>
  <c r="M22" i="3"/>
  <c r="O22" i="3" s="1"/>
  <c r="N22" i="3"/>
  <c r="M23" i="3"/>
  <c r="O23" i="3" s="1"/>
  <c r="N23" i="3"/>
  <c r="M24" i="3"/>
  <c r="N24" i="3"/>
  <c r="O24" i="3"/>
  <c r="M25" i="3"/>
  <c r="N25" i="3"/>
  <c r="O25" i="3"/>
  <c r="M26" i="3"/>
  <c r="O26" i="3" s="1"/>
  <c r="N26" i="3"/>
  <c r="M27" i="3"/>
  <c r="O27" i="3" s="1"/>
  <c r="N27" i="3"/>
  <c r="M28" i="3"/>
  <c r="N28" i="3"/>
  <c r="O28" i="3"/>
  <c r="M29" i="3"/>
  <c r="N29" i="3"/>
  <c r="O29" i="3"/>
  <c r="M30" i="3"/>
  <c r="O30" i="3" s="1"/>
  <c r="N30" i="3"/>
  <c r="M31" i="3"/>
  <c r="O31" i="3" s="1"/>
  <c r="N31" i="3"/>
  <c r="M32" i="3"/>
  <c r="N32" i="3"/>
  <c r="O32" i="3"/>
  <c r="M33" i="3"/>
  <c r="N33" i="3"/>
  <c r="O33" i="3"/>
  <c r="M34" i="3"/>
  <c r="O34" i="3" s="1"/>
  <c r="N34" i="3"/>
  <c r="M35" i="3"/>
  <c r="O35" i="3" s="1"/>
  <c r="N35" i="3"/>
  <c r="M36" i="3"/>
  <c r="N36" i="3"/>
  <c r="O36" i="3"/>
  <c r="M37" i="3"/>
  <c r="N37" i="3"/>
  <c r="O37" i="3"/>
  <c r="M38" i="3"/>
  <c r="O38" i="3" s="1"/>
  <c r="N38" i="3"/>
  <c r="M39" i="3"/>
  <c r="O39" i="3" s="1"/>
  <c r="N39" i="3"/>
  <c r="M40" i="3"/>
  <c r="N40" i="3"/>
  <c r="O40" i="3"/>
  <c r="M41" i="3"/>
  <c r="N41" i="3"/>
  <c r="O41" i="3"/>
  <c r="M42" i="3"/>
  <c r="O42" i="3" s="1"/>
  <c r="N42" i="3"/>
  <c r="M43" i="3"/>
  <c r="O43" i="3" s="1"/>
  <c r="N43" i="3"/>
  <c r="M44" i="3"/>
  <c r="N44" i="3"/>
  <c r="O44" i="3"/>
  <c r="M45" i="3"/>
  <c r="N45" i="3"/>
  <c r="O45" i="3"/>
  <c r="M46" i="3"/>
  <c r="O46" i="3" s="1"/>
  <c r="N46" i="3"/>
  <c r="M47" i="3"/>
  <c r="O47" i="3" s="1"/>
  <c r="N47" i="3"/>
  <c r="M48" i="3"/>
  <c r="N48" i="3"/>
  <c r="O48" i="3"/>
  <c r="M49" i="3"/>
  <c r="N49" i="3"/>
  <c r="O49" i="3"/>
  <c r="M50" i="3"/>
  <c r="O50" i="3" s="1"/>
  <c r="N50" i="3"/>
  <c r="M51" i="3"/>
  <c r="O51" i="3" s="1"/>
  <c r="N51" i="3"/>
  <c r="M52" i="3"/>
  <c r="N52" i="3"/>
  <c r="O52" i="3"/>
  <c r="M53" i="3"/>
  <c r="N53" i="3"/>
  <c r="O53" i="3"/>
  <c r="M54" i="3"/>
  <c r="O54" i="3" s="1"/>
  <c r="N54" i="3"/>
  <c r="M55" i="3"/>
  <c r="O55" i="3" s="1"/>
  <c r="N55" i="3"/>
  <c r="M56" i="3"/>
  <c r="N56" i="3"/>
  <c r="O56" i="3"/>
  <c r="M57" i="3"/>
  <c r="N57" i="3"/>
  <c r="O57" i="3"/>
  <c r="M58" i="3"/>
  <c r="O58" i="3" s="1"/>
  <c r="N58" i="3"/>
  <c r="M59" i="3"/>
  <c r="O59" i="3" s="1"/>
  <c r="N59" i="3"/>
  <c r="M60" i="3"/>
  <c r="N60" i="3"/>
  <c r="O60" i="3"/>
  <c r="M61" i="3"/>
  <c r="N61" i="3"/>
  <c r="O61" i="3"/>
  <c r="M62" i="3"/>
  <c r="O62" i="3" s="1"/>
  <c r="N62" i="3"/>
  <c r="M63" i="3"/>
  <c r="O63" i="3" s="1"/>
  <c r="N63" i="3"/>
  <c r="M64" i="3"/>
  <c r="N64" i="3"/>
  <c r="O64" i="3"/>
  <c r="M65" i="3"/>
  <c r="N65" i="3"/>
  <c r="O65" i="3"/>
  <c r="M66" i="3"/>
  <c r="O66" i="3" s="1"/>
  <c r="N66" i="3"/>
  <c r="M67" i="3"/>
  <c r="O67" i="3" s="1"/>
  <c r="N67" i="3"/>
  <c r="M68" i="3"/>
  <c r="N68" i="3"/>
  <c r="O68" i="3"/>
  <c r="M69" i="3"/>
  <c r="N69" i="3"/>
  <c r="O69" i="3"/>
  <c r="M70" i="3"/>
  <c r="O70" i="3" s="1"/>
  <c r="N70" i="3"/>
  <c r="M71" i="3"/>
  <c r="O71" i="3" s="1"/>
  <c r="N71" i="3"/>
  <c r="A73" i="3" a="1"/>
  <c r="A73" i="3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J6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<sst xmlns="http://schemas.openxmlformats.org/spreadsheetml/2006/main" count="674" uniqueCount="150">
  <si>
    <t>Hotel_Id</t>
  </si>
  <si>
    <t>Name</t>
  </si>
  <si>
    <t>Town</t>
  </si>
  <si>
    <t>County</t>
  </si>
  <si>
    <t>Web_Site</t>
  </si>
  <si>
    <t>Year_Opened</t>
  </si>
  <si>
    <t>Grade</t>
  </si>
  <si>
    <t>Num_Bedrooms</t>
  </si>
  <si>
    <t>Cost</t>
  </si>
  <si>
    <t>Specialism</t>
  </si>
  <si>
    <t>Num_Events</t>
  </si>
  <si>
    <t>Market_Value</t>
  </si>
  <si>
    <t>Cork</t>
  </si>
  <si>
    <t>Galway</t>
  </si>
  <si>
    <t>Graiguenamanagh</t>
  </si>
  <si>
    <t>Carlow</t>
  </si>
  <si>
    <t>Castlefin</t>
  </si>
  <si>
    <t>Donegal</t>
  </si>
  <si>
    <t>Westmeath</t>
  </si>
  <si>
    <t>Ballyshannon</t>
  </si>
  <si>
    <t>Greencastle</t>
  </si>
  <si>
    <t>Clonegal</t>
  </si>
  <si>
    <t>Dublin City</t>
  </si>
  <si>
    <t>Dublin</t>
  </si>
  <si>
    <t>Garristown</t>
  </si>
  <si>
    <t>Fingal</t>
  </si>
  <si>
    <t>Brinlack</t>
  </si>
  <si>
    <t>Borris</t>
  </si>
  <si>
    <t>Ballon</t>
  </si>
  <si>
    <t>Conna</t>
  </si>
  <si>
    <t>Ballydesmond</t>
  </si>
  <si>
    <t>Drimoleague</t>
  </si>
  <si>
    <t>Castlemartyr</t>
  </si>
  <si>
    <t>Baltimore</t>
  </si>
  <si>
    <t>Dunfanaghy</t>
  </si>
  <si>
    <t>Brittas</t>
  </si>
  <si>
    <t>Donabate</t>
  </si>
  <si>
    <t>Glenamaddy</t>
  </si>
  <si>
    <t>Galway City</t>
  </si>
  <si>
    <t>Cloonboo</t>
  </si>
  <si>
    <t>Carraroe</t>
  </si>
  <si>
    <t>Athenry</t>
  </si>
  <si>
    <t>Castlepollard</t>
  </si>
  <si>
    <t>Collinstown</t>
  </si>
  <si>
    <t>Athlone</t>
  </si>
  <si>
    <t>Clonmellon</t>
  </si>
  <si>
    <t>Step House Hotel</t>
  </si>
  <si>
    <t>https://www.stephousehotel.ie/</t>
  </si>
  <si>
    <t>4 Star</t>
  </si>
  <si>
    <t>Woodford Dolmen Hotel</t>
  </si>
  <si>
    <t>https://www.woodforddolmenhotel.ie/</t>
  </si>
  <si>
    <t>1.5 million</t>
  </si>
  <si>
    <t xml:space="preserve"> 1.6 million</t>
  </si>
  <si>
    <t>Borrow View Bread and Breakfast</t>
  </si>
  <si>
    <t>http://www.barrowviewbedandbreakfast.com/</t>
  </si>
  <si>
    <t>Concerts</t>
  </si>
  <si>
    <t>1.8 million</t>
  </si>
  <si>
    <t>Talbot</t>
  </si>
  <si>
    <t>https://www.talbotcarlow.ie/</t>
  </si>
  <si>
    <t>4 star</t>
  </si>
  <si>
    <t>Lord Bengal Inn</t>
  </si>
  <si>
    <t>https://www.lordbagenal.com/</t>
  </si>
  <si>
    <t>Midleton Park Hotel</t>
  </si>
  <si>
    <t>https://www.midletonpark.com/</t>
  </si>
  <si>
    <t>2.6 million</t>
  </si>
  <si>
    <t>River Island Hotel</t>
  </si>
  <si>
    <t>3 Star</t>
  </si>
  <si>
    <t>https://www.riverislandhotel.com/</t>
  </si>
  <si>
    <t>1.7 million</t>
  </si>
  <si>
    <t>The West Cork Hotel</t>
  </si>
  <si>
    <t>1.6 million</t>
  </si>
  <si>
    <t>https://www.westcorkhotel.com/</t>
  </si>
  <si>
    <t xml:space="preserve"> Castlemartyr Resort</t>
  </si>
  <si>
    <t>https://www.castlemartyrresort.ie/</t>
  </si>
  <si>
    <t>5 Star</t>
  </si>
  <si>
    <t>2.0 million</t>
  </si>
  <si>
    <t>The Waterfront Hotel</t>
  </si>
  <si>
    <t>https://www.waterfrontbaltimore.ie/</t>
  </si>
  <si>
    <t>Red Castel Hotel</t>
  </si>
  <si>
    <t>https://www.redcastlehoteldonegal.com/</t>
  </si>
  <si>
    <t>Tara Hotel</t>
  </si>
  <si>
    <t>https://www.tarahotel.ie/</t>
  </si>
  <si>
    <t>Lough Eske Castel</t>
  </si>
  <si>
    <t>https://www.lougheskecastlehotel.com/</t>
  </si>
  <si>
    <t>Harvey's Point</t>
  </si>
  <si>
    <t>3.2 million</t>
  </si>
  <si>
    <t>https://www.harveyspoint.com/</t>
  </si>
  <si>
    <t>Mill Park Hotel</t>
  </si>
  <si>
    <t>2.1 million</t>
  </si>
  <si>
    <t>https://www.millparkhotel.com/</t>
  </si>
  <si>
    <t>Clontarf Castle Hotel</t>
  </si>
  <si>
    <t>https://www.clontarfcastle.ie/</t>
  </si>
  <si>
    <t>Clayton Hotel Ballsbridge</t>
  </si>
  <si>
    <t>2.2 million</t>
  </si>
  <si>
    <t>https://www.Clayton Hotel Ballsbridge.ie/</t>
  </si>
  <si>
    <t>The Shelbourne Autograph Collection</t>
  </si>
  <si>
    <t>2.5 million</t>
  </si>
  <si>
    <t>https://www.marriott.com/en-us/hotels/dubdt-the-shelbourne-autograph-collection/overview/?scid=f2ae0541-1279-4f24-b197-a979c79310b0</t>
  </si>
  <si>
    <t>Roganstown Hotel</t>
  </si>
  <si>
    <t>2.3 million</t>
  </si>
  <si>
    <t>https://www.roganstown.com/</t>
  </si>
  <si>
    <t>Lutterllstown Castle Resort</t>
  </si>
  <si>
    <t>https://www.luttrellstowncastle.com/</t>
  </si>
  <si>
    <t>Galway Bay Hotel</t>
  </si>
  <si>
    <t>1.9 million</t>
  </si>
  <si>
    <t>https://www.galwaybayhotel.net/</t>
  </si>
  <si>
    <t>The Ardilaun Hotel</t>
  </si>
  <si>
    <t>https://www.theardilaunhotel.ie/</t>
  </si>
  <si>
    <t>The Harbour Hotel Galway</t>
  </si>
  <si>
    <t>2 million</t>
  </si>
  <si>
    <t>https://www.harbour.ie/en/</t>
  </si>
  <si>
    <t>Park House Hotel</t>
  </si>
  <si>
    <t>https://www.parkhousehotel.ie/</t>
  </si>
  <si>
    <t>Salthill Hotel</t>
  </si>
  <si>
    <t>2.9 million</t>
  </si>
  <si>
    <t>https://www.salthillhotel.com/</t>
  </si>
  <si>
    <t>Sheraton Athlone Hotel</t>
  </si>
  <si>
    <t>https://www.marriott.com/en-us/hotels/gwysi-sheraton-athlone-hotel/overview/?scid=f2ae0541-1279-4f24-b197-a979c79310b0</t>
  </si>
  <si>
    <t>Glasson Lakehouse</t>
  </si>
  <si>
    <t>https://glassonlakehouse.ie/</t>
  </si>
  <si>
    <t>Athlone Springs Hotel</t>
  </si>
  <si>
    <t>https://www.athlonespringshotel.com/</t>
  </si>
  <si>
    <t>Hodson Bay Hotel</t>
  </si>
  <si>
    <t>https://www.hodsonbayhotel.com/</t>
  </si>
  <si>
    <t>Radisson Blu Hotel</t>
  </si>
  <si>
    <t>2.8 million</t>
  </si>
  <si>
    <t>https://www.radissonhotels.com/en-us/hotels/radisson-blu-athlone?cid=a:se+b:gmb+c:emea+i:local+e:rdb+d:ukirwe+h:IEATE1</t>
  </si>
  <si>
    <t>Weddings</t>
  </si>
  <si>
    <t>Exhibitions</t>
  </si>
  <si>
    <t>Satisfactory</t>
  </si>
  <si>
    <t>Good</t>
  </si>
  <si>
    <t>Very Dirty</t>
  </si>
  <si>
    <t>Excellent</t>
  </si>
  <si>
    <t>Poor</t>
  </si>
  <si>
    <t>Pass</t>
  </si>
  <si>
    <t>Null</t>
  </si>
  <si>
    <t>Fair</t>
  </si>
  <si>
    <t>Adequate</t>
  </si>
  <si>
    <t>Fail</t>
  </si>
  <si>
    <t>Very Clean</t>
  </si>
  <si>
    <t>Staff_Expertise</t>
  </si>
  <si>
    <t>Atmosphere</t>
  </si>
  <si>
    <t>Hygiene</t>
  </si>
  <si>
    <t>Food_Prep_Area</t>
  </si>
  <si>
    <t>Fine_Imposed</t>
  </si>
  <si>
    <t>Storage</t>
  </si>
  <si>
    <t>Outcome</t>
  </si>
  <si>
    <t>Overall_Score</t>
  </si>
  <si>
    <t>Visit_Date</t>
  </si>
  <si>
    <t>Inspection_Id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</si>
</sst>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[$€-2]\ * #,##0.00_ ;_ [$€-2]\ * \-#,##0.00_ ;_ [$€-2]\ * &quot;-&quot;??_ ;_ @_ "/>
    <numFmt numFmtId="165" formatCode="_ [$€-2]\ * #,##0_ ;_ [$€-2]\ * \-#,##0_ ;_ [$€-2]\ * &quot;-&quot;??_ ;_ @_ "/>
    <numFmt numFmtId="166" formatCode="[$-14009]yyyy/mm/dd;@"/>
    <numFmt numFmtId="167" formatCode="[$-14009]dd\ mmmm\ yyyy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0" fontId="4" fillId="0" borderId="0" xfId="1"/>
    <xf numFmtId="0" fontId="3" fillId="0" borderId="0" xfId="0" applyFont="1"/>
    <xf numFmtId="164" fontId="3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0" borderId="1" xfId="0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166" fontId="3" fillId="0" borderId="1" xfId="0" applyNumberFormat="1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estcorkhotel.com/" TargetMode="External"/><Relationship Id="rId13" Type="http://schemas.openxmlformats.org/officeDocument/2006/relationships/hyperlink" Target="https://www.tarahotel.ie/" TargetMode="External"/><Relationship Id="rId18" Type="http://schemas.openxmlformats.org/officeDocument/2006/relationships/hyperlink" Target="https://www.roganstown.com/" TargetMode="External"/><Relationship Id="rId26" Type="http://schemas.openxmlformats.org/officeDocument/2006/relationships/hyperlink" Target="https://glassonlakehouse.ie/" TargetMode="External"/><Relationship Id="rId3" Type="http://schemas.openxmlformats.org/officeDocument/2006/relationships/hyperlink" Target="https://www.lordbagenal.com/" TargetMode="External"/><Relationship Id="rId21" Type="http://schemas.openxmlformats.org/officeDocument/2006/relationships/hyperlink" Target="https://www.theardilaunhotel.ie/" TargetMode="External"/><Relationship Id="rId7" Type="http://schemas.openxmlformats.org/officeDocument/2006/relationships/hyperlink" Target="https://www.stephousehotel.ie/" TargetMode="External"/><Relationship Id="rId12" Type="http://schemas.openxmlformats.org/officeDocument/2006/relationships/hyperlink" Target="https://www.redcastlehoteldonegal.com/" TargetMode="External"/><Relationship Id="rId17" Type="http://schemas.openxmlformats.org/officeDocument/2006/relationships/hyperlink" Target="https://www.marriott.com/en-us/hotels/dubdt-the-shelbourne-autograph-collection/overview/?scid=f2ae0541-1279-4f24-b197-a979c79310b0" TargetMode="External"/><Relationship Id="rId25" Type="http://schemas.openxmlformats.org/officeDocument/2006/relationships/hyperlink" Target="https://www.marriott.com/en-us/hotels/gwysi-sheraton-athlone-hotel/overview/?scid=f2ae0541-1279-4f24-b197-a979c79310b0" TargetMode="External"/><Relationship Id="rId2" Type="http://schemas.openxmlformats.org/officeDocument/2006/relationships/hyperlink" Target="https://www.midletonpark.com/" TargetMode="External"/><Relationship Id="rId16" Type="http://schemas.openxmlformats.org/officeDocument/2006/relationships/hyperlink" Target="https://www.millparkhotel.com/" TargetMode="External"/><Relationship Id="rId20" Type="http://schemas.openxmlformats.org/officeDocument/2006/relationships/hyperlink" Target="https://www.galwaybayhotel.net/" TargetMode="External"/><Relationship Id="rId29" Type="http://schemas.openxmlformats.org/officeDocument/2006/relationships/hyperlink" Target="https://www.radissonhotels.com/en-us/hotels/radisson-blu-athlone?cid=a:se+b:gmb+c:emea+i:local+e:rdb+d:ukirwe+h:IEATE1" TargetMode="External"/><Relationship Id="rId1" Type="http://schemas.openxmlformats.org/officeDocument/2006/relationships/hyperlink" Target="https://www.riverislandhotel.com/" TargetMode="External"/><Relationship Id="rId6" Type="http://schemas.openxmlformats.org/officeDocument/2006/relationships/hyperlink" Target="https://www.woodforddolmenhotel.ie/" TargetMode="External"/><Relationship Id="rId11" Type="http://schemas.openxmlformats.org/officeDocument/2006/relationships/hyperlink" Target="https://www.clontarfcastle.ie/" TargetMode="External"/><Relationship Id="rId24" Type="http://schemas.openxmlformats.org/officeDocument/2006/relationships/hyperlink" Target="https://www.salthillhotel.com/" TargetMode="External"/><Relationship Id="rId5" Type="http://schemas.openxmlformats.org/officeDocument/2006/relationships/hyperlink" Target="http://www.barrowviewbedandbreakfast.com/" TargetMode="External"/><Relationship Id="rId15" Type="http://schemas.openxmlformats.org/officeDocument/2006/relationships/hyperlink" Target="https://www.harveyspoint.com/" TargetMode="External"/><Relationship Id="rId23" Type="http://schemas.openxmlformats.org/officeDocument/2006/relationships/hyperlink" Target="https://www.parkhousehotel.ie/" TargetMode="External"/><Relationship Id="rId28" Type="http://schemas.openxmlformats.org/officeDocument/2006/relationships/hyperlink" Target="https://www.hodsonbayhotel.com/" TargetMode="External"/><Relationship Id="rId10" Type="http://schemas.openxmlformats.org/officeDocument/2006/relationships/hyperlink" Target="https://www.waterfrontbaltimore.ie/" TargetMode="External"/><Relationship Id="rId19" Type="http://schemas.openxmlformats.org/officeDocument/2006/relationships/hyperlink" Target="https://www.luttrellstowncastle.com/" TargetMode="External"/><Relationship Id="rId4" Type="http://schemas.openxmlformats.org/officeDocument/2006/relationships/hyperlink" Target="https://www.talbotcarlow.ie/" TargetMode="External"/><Relationship Id="rId9" Type="http://schemas.openxmlformats.org/officeDocument/2006/relationships/hyperlink" Target="https://www.castlemartyrresort.ie/" TargetMode="External"/><Relationship Id="rId14" Type="http://schemas.openxmlformats.org/officeDocument/2006/relationships/hyperlink" Target="https://www.lougheskecastlehotel.com/" TargetMode="External"/><Relationship Id="rId22" Type="http://schemas.openxmlformats.org/officeDocument/2006/relationships/hyperlink" Target="https://www.harbour.ie/en/" TargetMode="External"/><Relationship Id="rId27" Type="http://schemas.openxmlformats.org/officeDocument/2006/relationships/hyperlink" Target="https://www.athlonespringshote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252B-B905-451C-B211-121889C1BD07}">
  <dimension ref="A1:X64"/>
  <sheetViews>
    <sheetView tabSelected="1" topLeftCell="C1" zoomScale="144" zoomScaleNormal="80" workbookViewId="0">
      <selection activeCell="N1" sqref="N1"/>
    </sheetView>
  </sheetViews>
  <sheetFormatPr defaultRowHeight="14.4" x14ac:dyDescent="0.3"/>
  <cols>
    <col min="2" max="2" width="36" customWidth="1"/>
    <col min="3" max="3" width="18.5546875" customWidth="1"/>
    <col min="4" max="4" width="11" customWidth="1"/>
    <col min="5" max="5" width="56.33203125" customWidth="1"/>
    <col min="6" max="6" width="13.109375" customWidth="1"/>
    <col min="8" max="8" width="16.109375" customWidth="1"/>
    <col min="9" max="9" width="8.88671875" style="2"/>
    <col min="10" max="10" width="21.44140625" customWidth="1"/>
    <col min="11" max="11" width="19.77734375" customWidth="1"/>
    <col min="12" max="12" width="16.44140625" style="2" customWidth="1"/>
    <col min="18" max="18" width="14.77734375" customWidth="1"/>
    <col min="20" max="20" width="16" customWidth="1"/>
    <col min="22" max="22" width="18.88671875" customWidth="1"/>
  </cols>
  <sheetData>
    <row r="1" spans="1:24" x14ac:dyDescent="0.3">
      <c r="A1" t="s">
        <v>0</v>
      </c>
      <c r="B1" t="s">
        <v>1</v>
      </c>
      <c r="C1" s="4" t="s">
        <v>2</v>
      </c>
      <c r="D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5" t="s">
        <v>11</v>
      </c>
      <c r="N1" t="str">
        <f>"insert into Hotel values("&amp;A2&amp;",'"&amp;B2&amp;"','"&amp;C2&amp;"','"&amp;D2&amp;"','"&amp;E2&amp;"',"&amp;F2&amp;",'"&amp;G2&amp;"',"&amp;H2&amp;","&amp;I2&amp;",'"&amp;J2&amp;"',"&amp;K2&amp;","&amp;L2&amp;");"</f>
        <v>insert into Hotel values(100,'Step House Hotel','Graiguenamanagh','Carlow','https://www.stephousehotel.ie/',2007,'4 Star',20,170.59,'Weddings',5, 1.6 million);</v>
      </c>
      <c r="O1" s="4"/>
      <c r="Q1" s="4"/>
      <c r="R1" s="4"/>
      <c r="S1" s="4"/>
      <c r="T1" s="4"/>
      <c r="U1" s="5"/>
      <c r="V1" s="4"/>
      <c r="W1" s="4"/>
      <c r="X1" s="5"/>
    </row>
    <row r="2" spans="1:24" x14ac:dyDescent="0.3">
      <c r="A2">
        <v>100</v>
      </c>
      <c r="B2" t="s">
        <v>46</v>
      </c>
      <c r="C2" s="1" t="s">
        <v>14</v>
      </c>
      <c r="D2" s="1" t="s">
        <v>15</v>
      </c>
      <c r="E2" s="3" t="s">
        <v>47</v>
      </c>
      <c r="F2">
        <v>2007</v>
      </c>
      <c r="G2" t="s">
        <v>48</v>
      </c>
      <c r="H2">
        <v>20</v>
      </c>
      <c r="I2" s="2">
        <v>170.59</v>
      </c>
      <c r="J2" t="s">
        <v>127</v>
      </c>
      <c r="K2">
        <v>5</v>
      </c>
      <c r="L2" s="2" t="s">
        <v>52</v>
      </c>
      <c r="N2" t="str">
        <f t="shared" ref="N2:N30" si="0">"insert into Hotel values("&amp;A3&amp;",'"&amp;B3&amp;"','"&amp;C3&amp;"','"&amp;D3&amp;"','"&amp;E3&amp;"',"&amp;F3&amp;",'"&amp;G3&amp;"',"&amp;H3&amp;","&amp;I3&amp;",'"&amp;J3&amp;"',"&amp;K3&amp;","&amp;L3&amp;");"</f>
        <v>insert into Hotel values(101,'Woodford Dolmen Hotel','Clonegal','Carlow','https://www.woodforddolmenhotel.ie/',1976,'4 Star',81,81,'Weddings',3,1.5 million);</v>
      </c>
    </row>
    <row r="3" spans="1:24" x14ac:dyDescent="0.3">
      <c r="A3">
        <v>101</v>
      </c>
      <c r="B3" t="s">
        <v>49</v>
      </c>
      <c r="C3" t="s">
        <v>21</v>
      </c>
      <c r="D3" s="1" t="s">
        <v>15</v>
      </c>
      <c r="E3" s="3" t="s">
        <v>50</v>
      </c>
      <c r="F3">
        <v>1976</v>
      </c>
      <c r="G3" t="s">
        <v>48</v>
      </c>
      <c r="H3">
        <v>81</v>
      </c>
      <c r="I3" s="2">
        <v>81</v>
      </c>
      <c r="J3" t="s">
        <v>127</v>
      </c>
      <c r="K3">
        <v>3</v>
      </c>
      <c r="L3" s="2" t="s">
        <v>51</v>
      </c>
      <c r="N3" t="str">
        <f t="shared" si="0"/>
        <v>insert into Hotel values(102,'Borrow View Bread and Breakfast','Borris','Carlow','http://www.barrowviewbedandbreakfast.com/',2005,'4 Star',10,86,'Concerts',3,1.8 million);</v>
      </c>
    </row>
    <row r="4" spans="1:24" x14ac:dyDescent="0.3">
      <c r="A4">
        <v>102</v>
      </c>
      <c r="B4" t="s">
        <v>53</v>
      </c>
      <c r="C4" t="s">
        <v>27</v>
      </c>
      <c r="D4" t="s">
        <v>15</v>
      </c>
      <c r="E4" s="3" t="s">
        <v>54</v>
      </c>
      <c r="F4">
        <v>2005</v>
      </c>
      <c r="G4" t="s">
        <v>48</v>
      </c>
      <c r="H4">
        <v>10</v>
      </c>
      <c r="I4" s="2">
        <v>86</v>
      </c>
      <c r="J4" t="s">
        <v>55</v>
      </c>
      <c r="K4">
        <v>3</v>
      </c>
      <c r="L4" s="2" t="s">
        <v>56</v>
      </c>
      <c r="N4" t="str">
        <f t="shared" si="0"/>
        <v>insert into Hotel values(103,'Talbot','Carlow','Carlow','https://www.talbotcarlow.ie/',1905,'4 star',15,92,'Concerts',5,2.6 million);</v>
      </c>
    </row>
    <row r="5" spans="1:24" x14ac:dyDescent="0.3">
      <c r="A5">
        <v>103</v>
      </c>
      <c r="B5" t="s">
        <v>57</v>
      </c>
      <c r="C5" t="s">
        <v>15</v>
      </c>
      <c r="D5" t="s">
        <v>15</v>
      </c>
      <c r="E5" s="3" t="s">
        <v>58</v>
      </c>
      <c r="F5">
        <v>1905</v>
      </c>
      <c r="G5" t="s">
        <v>59</v>
      </c>
      <c r="H5">
        <v>15</v>
      </c>
      <c r="I5" s="2">
        <v>92</v>
      </c>
      <c r="J5" t="s">
        <v>55</v>
      </c>
      <c r="K5">
        <v>5</v>
      </c>
      <c r="L5" s="2" t="s">
        <v>64</v>
      </c>
      <c r="N5" t="str">
        <f t="shared" si="0"/>
        <v>insert into Hotel values(104,'Lord Bengal Inn','Ballon','Carlow','https://www.lordbagenal.com/',1979,'4 Star',39,129,'Concerts',3,1.8 million);</v>
      </c>
    </row>
    <row r="6" spans="1:24" x14ac:dyDescent="0.3">
      <c r="A6">
        <v>104</v>
      </c>
      <c r="B6" t="s">
        <v>60</v>
      </c>
      <c r="C6" t="s">
        <v>28</v>
      </c>
      <c r="D6" t="s">
        <v>15</v>
      </c>
      <c r="E6" s="3" t="s">
        <v>61</v>
      </c>
      <c r="F6">
        <v>1979</v>
      </c>
      <c r="G6" t="s">
        <v>48</v>
      </c>
      <c r="H6">
        <v>39</v>
      </c>
      <c r="I6" s="2">
        <v>129</v>
      </c>
      <c r="J6" t="s">
        <v>55</v>
      </c>
      <c r="K6">
        <v>3</v>
      </c>
      <c r="L6" s="2" t="s">
        <v>56</v>
      </c>
      <c r="N6" t="str">
        <f t="shared" si="0"/>
        <v>insert into Hotel values(105,'Midleton Park Hotel','Conna','Cork','https://www.midletonpark.com/',2023,'4 Star',12,116,'Exhibitions',3,2.6 million);</v>
      </c>
    </row>
    <row r="7" spans="1:24" x14ac:dyDescent="0.3">
      <c r="A7">
        <v>105</v>
      </c>
      <c r="B7" t="s">
        <v>62</v>
      </c>
      <c r="C7" t="s">
        <v>29</v>
      </c>
      <c r="D7" t="s">
        <v>12</v>
      </c>
      <c r="E7" s="3" t="s">
        <v>63</v>
      </c>
      <c r="F7">
        <v>2023</v>
      </c>
      <c r="G7" t="s">
        <v>48</v>
      </c>
      <c r="H7">
        <v>12</v>
      </c>
      <c r="I7" s="2">
        <v>116</v>
      </c>
      <c r="J7" t="s">
        <v>128</v>
      </c>
      <c r="K7">
        <v>3</v>
      </c>
      <c r="L7" s="2" t="s">
        <v>64</v>
      </c>
      <c r="N7" t="str">
        <f t="shared" si="0"/>
        <v>insert into Hotel values(106,'River Island Hotel','Ballydesmond','Cork','https://www.riverislandhotel.com/',1995,'3 Star',10,69,'Concerts',5,1.7 million);</v>
      </c>
    </row>
    <row r="8" spans="1:24" x14ac:dyDescent="0.3">
      <c r="A8">
        <v>106</v>
      </c>
      <c r="B8" t="s">
        <v>65</v>
      </c>
      <c r="C8" t="s">
        <v>30</v>
      </c>
      <c r="D8" t="s">
        <v>12</v>
      </c>
      <c r="E8" s="3" t="s">
        <v>67</v>
      </c>
      <c r="F8">
        <v>1995</v>
      </c>
      <c r="G8" t="s">
        <v>66</v>
      </c>
      <c r="H8">
        <v>10</v>
      </c>
      <c r="I8" s="2">
        <v>69</v>
      </c>
      <c r="J8" t="s">
        <v>55</v>
      </c>
      <c r="K8">
        <v>5</v>
      </c>
      <c r="L8" s="2" t="s">
        <v>68</v>
      </c>
      <c r="N8" t="str">
        <f t="shared" si="0"/>
        <v>insert into Hotel values(107,'The West Cork Hotel','Drimoleague','Cork','https://www.westcorkhotel.com/',1902,'3 Star',13,35,'Exhibitions',3,1.6 million);</v>
      </c>
    </row>
    <row r="9" spans="1:24" x14ac:dyDescent="0.3">
      <c r="A9">
        <v>107</v>
      </c>
      <c r="B9" t="s">
        <v>69</v>
      </c>
      <c r="C9" t="s">
        <v>31</v>
      </c>
      <c r="D9" t="s">
        <v>12</v>
      </c>
      <c r="E9" s="3" t="s">
        <v>71</v>
      </c>
      <c r="F9">
        <v>1902</v>
      </c>
      <c r="G9" t="s">
        <v>66</v>
      </c>
      <c r="H9">
        <v>13</v>
      </c>
      <c r="I9" s="2">
        <v>35</v>
      </c>
      <c r="J9" t="s">
        <v>128</v>
      </c>
      <c r="K9">
        <v>3</v>
      </c>
      <c r="L9" s="2" t="s">
        <v>70</v>
      </c>
      <c r="N9" t="str">
        <f t="shared" si="0"/>
        <v>insert into Hotel values(108,' Castlemartyr Resort','Castlemartyr','Cork','https://www.castlemartyrresort.ie/',2008,'5 Star',20,221,'Weddings',5,2.0 million);</v>
      </c>
    </row>
    <row r="10" spans="1:24" x14ac:dyDescent="0.3">
      <c r="A10">
        <v>108</v>
      </c>
      <c r="B10" t="s">
        <v>72</v>
      </c>
      <c r="C10" t="s">
        <v>32</v>
      </c>
      <c r="D10" t="s">
        <v>12</v>
      </c>
      <c r="E10" s="3" t="s">
        <v>73</v>
      </c>
      <c r="F10">
        <v>2008</v>
      </c>
      <c r="G10" t="s">
        <v>74</v>
      </c>
      <c r="H10">
        <v>20</v>
      </c>
      <c r="I10" s="2">
        <v>221</v>
      </c>
      <c r="J10" t="s">
        <v>127</v>
      </c>
      <c r="K10">
        <v>5</v>
      </c>
      <c r="L10" s="2" t="s">
        <v>75</v>
      </c>
      <c r="N10" t="str">
        <f t="shared" si="0"/>
        <v>insert into Hotel values(109,'The Waterfront Hotel','Baltimore','Cork','https://www.waterfrontbaltimore.ie/',1960,'3 Star',15,124,'Exhibitions',3,1.6 million);</v>
      </c>
    </row>
    <row r="11" spans="1:24" x14ac:dyDescent="0.3">
      <c r="A11">
        <v>109</v>
      </c>
      <c r="B11" t="s">
        <v>76</v>
      </c>
      <c r="C11" t="s">
        <v>33</v>
      </c>
      <c r="D11" t="s">
        <v>12</v>
      </c>
      <c r="E11" s="3" t="s">
        <v>77</v>
      </c>
      <c r="F11">
        <v>1960</v>
      </c>
      <c r="G11" t="s">
        <v>66</v>
      </c>
      <c r="H11">
        <v>15</v>
      </c>
      <c r="I11" s="2">
        <v>124</v>
      </c>
      <c r="J11" t="s">
        <v>128</v>
      </c>
      <c r="K11">
        <v>3</v>
      </c>
      <c r="L11" s="2" t="s">
        <v>70</v>
      </c>
      <c r="N11" t="str">
        <f t="shared" si="0"/>
        <v>insert into Hotel values(110,'Red Castel Hotel','Castlefin','Donegal','https://www.redcastlehoteldonegal.com/',1971,'4 Star',15,105,'Weddings',5,2.6 million);</v>
      </c>
    </row>
    <row r="12" spans="1:24" x14ac:dyDescent="0.3">
      <c r="A12">
        <v>110</v>
      </c>
      <c r="B12" t="s">
        <v>78</v>
      </c>
      <c r="C12" t="s">
        <v>16</v>
      </c>
      <c r="D12" t="s">
        <v>17</v>
      </c>
      <c r="E12" s="3" t="s">
        <v>79</v>
      </c>
      <c r="F12">
        <v>1971</v>
      </c>
      <c r="G12" t="s">
        <v>48</v>
      </c>
      <c r="H12">
        <v>15</v>
      </c>
      <c r="I12" s="2">
        <v>105</v>
      </c>
      <c r="J12" t="s">
        <v>127</v>
      </c>
      <c r="K12">
        <v>5</v>
      </c>
      <c r="L12" s="2" t="s">
        <v>64</v>
      </c>
      <c r="N12" t="str">
        <f t="shared" si="0"/>
        <v>insert into Hotel values(111,'Tara Hotel','Ballyshannon','Donegal','https://www.tarahotel.ie/',2004,'3 Star',10,198,'Concerts',3,1.6 million);</v>
      </c>
    </row>
    <row r="13" spans="1:24" x14ac:dyDescent="0.3">
      <c r="A13">
        <v>111</v>
      </c>
      <c r="B13" t="s">
        <v>80</v>
      </c>
      <c r="C13" t="s">
        <v>19</v>
      </c>
      <c r="D13" t="s">
        <v>17</v>
      </c>
      <c r="E13" s="3" t="s">
        <v>81</v>
      </c>
      <c r="F13">
        <v>2004</v>
      </c>
      <c r="G13" t="s">
        <v>66</v>
      </c>
      <c r="H13">
        <v>10</v>
      </c>
      <c r="I13" s="2">
        <v>198</v>
      </c>
      <c r="J13" t="s">
        <v>55</v>
      </c>
      <c r="K13">
        <v>3</v>
      </c>
      <c r="L13" s="2" t="s">
        <v>70</v>
      </c>
      <c r="N13" t="str">
        <f t="shared" si="0"/>
        <v>insert into Hotel values(112,'Lough Eske Castel','Greencastle','Donegal','https://www.lougheskecastlehotel.com/',2015,'5 Star',25,218,'Weddings',5,2.6 million);</v>
      </c>
    </row>
    <row r="14" spans="1:24" x14ac:dyDescent="0.3">
      <c r="A14">
        <v>112</v>
      </c>
      <c r="B14" t="s">
        <v>82</v>
      </c>
      <c r="C14" t="s">
        <v>20</v>
      </c>
      <c r="D14" t="s">
        <v>17</v>
      </c>
      <c r="E14" s="3" t="s">
        <v>83</v>
      </c>
      <c r="F14">
        <v>2015</v>
      </c>
      <c r="G14" t="s">
        <v>74</v>
      </c>
      <c r="H14">
        <v>25</v>
      </c>
      <c r="I14" s="2">
        <v>218</v>
      </c>
      <c r="J14" t="s">
        <v>127</v>
      </c>
      <c r="K14">
        <v>5</v>
      </c>
      <c r="L14" s="2" t="s">
        <v>64</v>
      </c>
      <c r="N14" t="str">
        <f t="shared" si="0"/>
        <v>insert into Hotel values(113,'Harvey's Point','Brinlack','Donegal','https://www.harveyspoint.com/',2012,'4 Star',10,221,'Concerts',3,3.2 million);</v>
      </c>
    </row>
    <row r="15" spans="1:24" x14ac:dyDescent="0.3">
      <c r="A15">
        <v>113</v>
      </c>
      <c r="B15" t="s">
        <v>84</v>
      </c>
      <c r="C15" t="s">
        <v>26</v>
      </c>
      <c r="D15" t="s">
        <v>17</v>
      </c>
      <c r="E15" s="3" t="s">
        <v>86</v>
      </c>
      <c r="F15">
        <v>2012</v>
      </c>
      <c r="G15" t="s">
        <v>48</v>
      </c>
      <c r="H15">
        <v>10</v>
      </c>
      <c r="I15" s="2">
        <v>221</v>
      </c>
      <c r="J15" t="s">
        <v>55</v>
      </c>
      <c r="K15">
        <v>3</v>
      </c>
      <c r="L15" s="2" t="s">
        <v>85</v>
      </c>
      <c r="N15" t="str">
        <f t="shared" si="0"/>
        <v>insert into Hotel values(114,'Mill Park Hotel','Dunfanaghy','Donegal','https://www.millparkhotel.com/',2002,'4 Star',12,130,'Exhibitions',3,2.1 million);</v>
      </c>
    </row>
    <row r="16" spans="1:24" x14ac:dyDescent="0.3">
      <c r="A16">
        <v>114</v>
      </c>
      <c r="B16" t="s">
        <v>87</v>
      </c>
      <c r="C16" t="s">
        <v>34</v>
      </c>
      <c r="D16" t="s">
        <v>17</v>
      </c>
      <c r="E16" s="3" t="s">
        <v>89</v>
      </c>
      <c r="F16">
        <v>2002</v>
      </c>
      <c r="G16" t="s">
        <v>48</v>
      </c>
      <c r="H16">
        <v>12</v>
      </c>
      <c r="I16" s="2">
        <v>130</v>
      </c>
      <c r="J16" t="s">
        <v>128</v>
      </c>
      <c r="K16">
        <v>3</v>
      </c>
      <c r="L16" s="2" t="s">
        <v>88</v>
      </c>
      <c r="N16" t="str">
        <f t="shared" si="0"/>
        <v>insert into Hotel values(115,'Clontarf Castle Hotel','Dublin City','Dublin','https://www.clontarfcastle.ie/',1998,'4 Star',10,141,'Weddings',5,1.6 million);</v>
      </c>
    </row>
    <row r="17" spans="1:14" x14ac:dyDescent="0.3">
      <c r="A17">
        <v>115</v>
      </c>
      <c r="B17" t="s">
        <v>90</v>
      </c>
      <c r="C17" t="s">
        <v>22</v>
      </c>
      <c r="D17" t="s">
        <v>23</v>
      </c>
      <c r="E17" s="3" t="s">
        <v>91</v>
      </c>
      <c r="F17">
        <v>1998</v>
      </c>
      <c r="G17" t="s">
        <v>48</v>
      </c>
      <c r="H17">
        <v>10</v>
      </c>
      <c r="I17" s="2">
        <v>141</v>
      </c>
      <c r="J17" t="s">
        <v>127</v>
      </c>
      <c r="K17">
        <v>5</v>
      </c>
      <c r="L17" s="2" t="s">
        <v>70</v>
      </c>
      <c r="N17" t="str">
        <f t="shared" si="0"/>
        <v>insert into Hotel values(116,'Clayton Hotel Ballsbridge','Brittas','Dublin','https://www.Clayton Hotel Ballsbridge.ie/',2004,'4 Star',22,124,'Concerts',3,2.2 million);</v>
      </c>
    </row>
    <row r="18" spans="1:14" x14ac:dyDescent="0.3">
      <c r="A18">
        <v>116</v>
      </c>
      <c r="B18" t="s">
        <v>92</v>
      </c>
      <c r="C18" t="s">
        <v>35</v>
      </c>
      <c r="D18" t="s">
        <v>23</v>
      </c>
      <c r="E18" t="s">
        <v>94</v>
      </c>
      <c r="F18">
        <v>2004</v>
      </c>
      <c r="G18" t="s">
        <v>48</v>
      </c>
      <c r="H18">
        <v>22</v>
      </c>
      <c r="I18" s="2">
        <v>124</v>
      </c>
      <c r="J18" t="s">
        <v>55</v>
      </c>
      <c r="K18">
        <v>3</v>
      </c>
      <c r="L18" s="2" t="s">
        <v>93</v>
      </c>
      <c r="N18" t="str">
        <f t="shared" si="0"/>
        <v>insert into Hotel values(117,'The Shelbourne Autograph Collection','Dublin','Dublin','https://www.marriott.com/en-us/hotels/dubdt-the-shelbourne-autograph-collection/overview/?scid=f2ae0541-1279-4f24-b197-a979c79310b0',1998,'5 Star',25,446,'Weddings',5,2.5 million);</v>
      </c>
    </row>
    <row r="19" spans="1:14" x14ac:dyDescent="0.3">
      <c r="A19">
        <v>117</v>
      </c>
      <c r="B19" t="s">
        <v>95</v>
      </c>
      <c r="C19" t="s">
        <v>23</v>
      </c>
      <c r="D19" t="s">
        <v>23</v>
      </c>
      <c r="E19" s="3" t="s">
        <v>97</v>
      </c>
      <c r="F19">
        <v>1998</v>
      </c>
      <c r="G19" t="s">
        <v>74</v>
      </c>
      <c r="H19">
        <v>25</v>
      </c>
      <c r="I19" s="2">
        <v>446</v>
      </c>
      <c r="J19" t="s">
        <v>127</v>
      </c>
      <c r="K19">
        <v>5</v>
      </c>
      <c r="L19" s="2" t="s">
        <v>96</v>
      </c>
      <c r="N19" t="str">
        <f t="shared" si="0"/>
        <v>insert into Hotel values(118,'Roganstown Hotel','Garristown','Fingal','https://www.roganstown.com/',2002,'4 Star',20,130,'Weddings',6,2.3 million);</v>
      </c>
    </row>
    <row r="20" spans="1:14" x14ac:dyDescent="0.3">
      <c r="A20">
        <v>118</v>
      </c>
      <c r="B20" t="s">
        <v>98</v>
      </c>
      <c r="C20" t="s">
        <v>24</v>
      </c>
      <c r="D20" t="s">
        <v>25</v>
      </c>
      <c r="E20" s="3" t="s">
        <v>100</v>
      </c>
      <c r="F20">
        <v>2002</v>
      </c>
      <c r="G20" t="s">
        <v>48</v>
      </c>
      <c r="H20">
        <v>20</v>
      </c>
      <c r="I20" s="2">
        <v>130</v>
      </c>
      <c r="J20" t="s">
        <v>127</v>
      </c>
      <c r="K20">
        <v>6</v>
      </c>
      <c r="L20" s="2" t="s">
        <v>99</v>
      </c>
      <c r="N20" t="str">
        <f t="shared" si="0"/>
        <v>insert into Hotel values(119,'Lutterllstown Castle Resort','Donabate','Fingal','https://www.luttrellstowncastle.com/',2008,'5 Star',22,220,'Concerts',5,1.8 million);</v>
      </c>
    </row>
    <row r="21" spans="1:14" x14ac:dyDescent="0.3">
      <c r="A21">
        <v>119</v>
      </c>
      <c r="B21" t="s">
        <v>101</v>
      </c>
      <c r="C21" t="s">
        <v>36</v>
      </c>
      <c r="D21" t="s">
        <v>25</v>
      </c>
      <c r="E21" s="3" t="s">
        <v>102</v>
      </c>
      <c r="F21">
        <v>2008</v>
      </c>
      <c r="G21" t="s">
        <v>74</v>
      </c>
      <c r="H21">
        <v>22</v>
      </c>
      <c r="I21" s="2">
        <v>220</v>
      </c>
      <c r="J21" t="s">
        <v>55</v>
      </c>
      <c r="K21">
        <v>5</v>
      </c>
      <c r="L21" s="2" t="s">
        <v>56</v>
      </c>
      <c r="N21" t="str">
        <f t="shared" si="0"/>
        <v>insert into Hotel values(120,'Galway Bay Hotel','Glenamaddy','Galway','https://www.galwaybayhotel.net/',2002,'4 Star',25,166,'Weddings',5,1.9 million);</v>
      </c>
    </row>
    <row r="22" spans="1:14" x14ac:dyDescent="0.3">
      <c r="A22">
        <v>120</v>
      </c>
      <c r="B22" t="s">
        <v>103</v>
      </c>
      <c r="C22" t="s">
        <v>37</v>
      </c>
      <c r="D22" t="s">
        <v>13</v>
      </c>
      <c r="E22" s="3" t="s">
        <v>105</v>
      </c>
      <c r="F22">
        <v>2002</v>
      </c>
      <c r="G22" t="s">
        <v>48</v>
      </c>
      <c r="H22">
        <v>25</v>
      </c>
      <c r="I22" s="2">
        <v>166</v>
      </c>
      <c r="J22" t="s">
        <v>127</v>
      </c>
      <c r="K22">
        <v>5</v>
      </c>
      <c r="L22" s="2" t="s">
        <v>104</v>
      </c>
      <c r="N22" t="str">
        <f t="shared" si="0"/>
        <v>insert into Hotel values(121,'The Ardilaun Hotel','Galway City','Galway','https://www.theardilaunhotel.ie/',2005,'4 Star',15,189,'Exhibitions',4,1.8 million);</v>
      </c>
    </row>
    <row r="23" spans="1:14" x14ac:dyDescent="0.3">
      <c r="A23">
        <v>121</v>
      </c>
      <c r="B23" t="s">
        <v>106</v>
      </c>
      <c r="C23" t="s">
        <v>38</v>
      </c>
      <c r="D23" t="s">
        <v>13</v>
      </c>
      <c r="E23" s="3" t="s">
        <v>107</v>
      </c>
      <c r="F23">
        <v>2005</v>
      </c>
      <c r="G23" t="s">
        <v>48</v>
      </c>
      <c r="H23">
        <v>15</v>
      </c>
      <c r="I23" s="2">
        <v>189</v>
      </c>
      <c r="J23" t="s">
        <v>128</v>
      </c>
      <c r="K23">
        <v>4</v>
      </c>
      <c r="L23" s="2" t="s">
        <v>56</v>
      </c>
      <c r="N23" t="str">
        <f t="shared" si="0"/>
        <v>insert into Hotel values(122,'The Harbour Hotel Galway','Cloonboo','Galway','https://www.harbour.ie/en/',2002,'4 Star',20,170,'Weddings',5,2 million);</v>
      </c>
    </row>
    <row r="24" spans="1:14" x14ac:dyDescent="0.3">
      <c r="A24">
        <v>122</v>
      </c>
      <c r="B24" t="s">
        <v>108</v>
      </c>
      <c r="C24" t="s">
        <v>39</v>
      </c>
      <c r="D24" t="s">
        <v>13</v>
      </c>
      <c r="E24" s="3" t="s">
        <v>110</v>
      </c>
      <c r="F24">
        <v>2002</v>
      </c>
      <c r="G24" t="s">
        <v>48</v>
      </c>
      <c r="H24">
        <v>20</v>
      </c>
      <c r="I24" s="2">
        <v>170</v>
      </c>
      <c r="J24" t="s">
        <v>127</v>
      </c>
      <c r="K24">
        <v>5</v>
      </c>
      <c r="L24" s="2" t="s">
        <v>109</v>
      </c>
      <c r="N24" t="str">
        <f t="shared" si="0"/>
        <v>insert into Hotel values(123,'Park House Hotel','Carraroe','Galway','https://www.parkhousehotel.ie/',1999,'4 Star',18,275,'Concerts',4,2.5 million);</v>
      </c>
    </row>
    <row r="25" spans="1:14" x14ac:dyDescent="0.3">
      <c r="A25">
        <v>123</v>
      </c>
      <c r="B25" t="s">
        <v>111</v>
      </c>
      <c r="C25" t="s">
        <v>40</v>
      </c>
      <c r="D25" t="s">
        <v>13</v>
      </c>
      <c r="E25" s="3" t="s">
        <v>112</v>
      </c>
      <c r="F25">
        <v>1999</v>
      </c>
      <c r="G25" t="s">
        <v>48</v>
      </c>
      <c r="H25">
        <v>18</v>
      </c>
      <c r="I25" s="2">
        <v>275</v>
      </c>
      <c r="J25" t="s">
        <v>55</v>
      </c>
      <c r="K25">
        <v>4</v>
      </c>
      <c r="L25" s="2" t="s">
        <v>96</v>
      </c>
      <c r="N25" t="str">
        <f t="shared" si="0"/>
        <v>insert into Hotel values(124,'Salthill Hotel','Athenry','Galway','https://www.salthillhotel.com/',2000,'4 Star',20,187,'Weddings',8,2.9 million);</v>
      </c>
    </row>
    <row r="26" spans="1:14" x14ac:dyDescent="0.3">
      <c r="A26">
        <v>124</v>
      </c>
      <c r="B26" t="s">
        <v>113</v>
      </c>
      <c r="C26" t="s">
        <v>41</v>
      </c>
      <c r="D26" t="s">
        <v>13</v>
      </c>
      <c r="E26" s="3" t="s">
        <v>115</v>
      </c>
      <c r="F26">
        <v>2000</v>
      </c>
      <c r="G26" t="s">
        <v>48</v>
      </c>
      <c r="H26">
        <v>20</v>
      </c>
      <c r="I26" s="2">
        <v>187</v>
      </c>
      <c r="J26" t="s">
        <v>127</v>
      </c>
      <c r="K26">
        <v>8</v>
      </c>
      <c r="L26" s="2" t="s">
        <v>114</v>
      </c>
      <c r="N26" t="str">
        <f t="shared" si="0"/>
        <v>insert into Hotel values(125,'Sheraton Athlone Hotel','Castlepollard','Westmeath','https://www.marriott.com/en-us/hotels/gwysi-sheraton-athlone-hotel/overview/?scid=f2ae0541-1279-4f24-b197-a979c79310b0',1997,'4 Star',15,181,'Weddings',4,1.8 million);</v>
      </c>
    </row>
    <row r="27" spans="1:14" x14ac:dyDescent="0.3">
      <c r="A27">
        <v>125</v>
      </c>
      <c r="B27" t="s">
        <v>116</v>
      </c>
      <c r="C27" t="s">
        <v>42</v>
      </c>
      <c r="D27" t="s">
        <v>18</v>
      </c>
      <c r="E27" s="3" t="s">
        <v>117</v>
      </c>
      <c r="F27">
        <v>1997</v>
      </c>
      <c r="G27" t="s">
        <v>48</v>
      </c>
      <c r="H27">
        <v>15</v>
      </c>
      <c r="I27" s="2">
        <v>181</v>
      </c>
      <c r="J27" t="s">
        <v>127</v>
      </c>
      <c r="K27">
        <v>4</v>
      </c>
      <c r="L27" s="2" t="s">
        <v>56</v>
      </c>
      <c r="N27" t="str">
        <f t="shared" si="0"/>
        <v>insert into Hotel values(126,'Glasson Lakehouse','Collinstown','Westmeath','https://glassonlakehouse.ie/',2002,'4 Star',50,272,'Concerts',3,2.2 million);</v>
      </c>
    </row>
    <row r="28" spans="1:14" x14ac:dyDescent="0.3">
      <c r="A28">
        <v>126</v>
      </c>
      <c r="B28" t="s">
        <v>118</v>
      </c>
      <c r="C28" t="s">
        <v>43</v>
      </c>
      <c r="D28" t="s">
        <v>18</v>
      </c>
      <c r="E28" s="3" t="s">
        <v>119</v>
      </c>
      <c r="F28">
        <v>2002</v>
      </c>
      <c r="G28" t="s">
        <v>48</v>
      </c>
      <c r="H28">
        <v>50</v>
      </c>
      <c r="I28" s="2">
        <v>272</v>
      </c>
      <c r="J28" t="s">
        <v>55</v>
      </c>
      <c r="K28">
        <v>3</v>
      </c>
      <c r="L28" s="2" t="s">
        <v>93</v>
      </c>
      <c r="N28" t="str">
        <f t="shared" si="0"/>
        <v>insert into Hotel values(127,'Athlone Springs Hotel','Athlone','Westmeath','https://www.athlonespringshotel.com/',2003,'4 Star',20,141,'Weddings',4,1.8 million);</v>
      </c>
    </row>
    <row r="29" spans="1:14" x14ac:dyDescent="0.3">
      <c r="A29">
        <v>127</v>
      </c>
      <c r="B29" t="s">
        <v>120</v>
      </c>
      <c r="C29" t="s">
        <v>44</v>
      </c>
      <c r="D29" t="s">
        <v>18</v>
      </c>
      <c r="E29" s="3" t="s">
        <v>121</v>
      </c>
      <c r="F29">
        <v>2003</v>
      </c>
      <c r="G29" t="s">
        <v>48</v>
      </c>
      <c r="H29">
        <v>20</v>
      </c>
      <c r="I29" s="2">
        <v>141</v>
      </c>
      <c r="J29" t="s">
        <v>127</v>
      </c>
      <c r="K29">
        <v>4</v>
      </c>
      <c r="L29" s="2" t="s">
        <v>56</v>
      </c>
      <c r="N29" t="str">
        <f t="shared" si="0"/>
        <v>insert into Hotel values(128,'Hodson Bay Hotel','Clonmellon','Westmeath','https://www.hodsonbayhotel.com/',2005,'4 Star',25,136,'Exhibitions',2,2.2 million);</v>
      </c>
    </row>
    <row r="30" spans="1:14" x14ac:dyDescent="0.3">
      <c r="A30">
        <v>128</v>
      </c>
      <c r="B30" t="s">
        <v>122</v>
      </c>
      <c r="C30" t="s">
        <v>45</v>
      </c>
      <c r="D30" t="s">
        <v>18</v>
      </c>
      <c r="E30" s="3" t="s">
        <v>123</v>
      </c>
      <c r="F30">
        <v>2005</v>
      </c>
      <c r="G30" t="s">
        <v>48</v>
      </c>
      <c r="H30">
        <v>25</v>
      </c>
      <c r="I30" s="2">
        <v>136</v>
      </c>
      <c r="J30" t="s">
        <v>128</v>
      </c>
      <c r="K30">
        <v>2</v>
      </c>
      <c r="L30" s="2" t="s">
        <v>93</v>
      </c>
      <c r="N30" t="str">
        <f t="shared" si="0"/>
        <v>insert into Hotel values(129,'Radisson Blu Hotel','Athlone','Westmeath','https://www.radissonhotels.com/en-us/hotels/radisson-blu-athlone?cid=a:se+b:gmb+c:emea+i:local+e:rdb+d:ukirwe+h:IEATE1',1999,'4 Star',30,162,'Weddings',5,2.8 million);</v>
      </c>
    </row>
    <row r="31" spans="1:14" x14ac:dyDescent="0.3">
      <c r="A31">
        <v>129</v>
      </c>
      <c r="B31" t="s">
        <v>124</v>
      </c>
      <c r="C31" t="s">
        <v>44</v>
      </c>
      <c r="D31" t="s">
        <v>18</v>
      </c>
      <c r="E31" s="3" t="s">
        <v>126</v>
      </c>
      <c r="F31">
        <v>1999</v>
      </c>
      <c r="G31" t="s">
        <v>48</v>
      </c>
      <c r="H31">
        <v>30</v>
      </c>
      <c r="I31" s="2">
        <v>162</v>
      </c>
      <c r="J31" t="s">
        <v>127</v>
      </c>
      <c r="K31">
        <v>5</v>
      </c>
      <c r="L31" s="2" t="s">
        <v>125</v>
      </c>
    </row>
    <row r="64" spans="10:10" x14ac:dyDescent="0.3">
      <c r="J64" t="e">
        <f>MAX(_xlfn.ANCHORARRAY(J33))</f>
        <v>#REF!</v>
      </c>
    </row>
  </sheetData>
  <phoneticPr fontId="2" type="noConversion"/>
  <hyperlinks>
    <hyperlink ref="E8" r:id="rId1" xr:uid="{1F6CCEC5-D713-4C09-90A7-3803DEC4D8F8}"/>
    <hyperlink ref="E7" r:id="rId2" xr:uid="{AAE39A35-5D81-40A6-B047-10D35B4EFF7F}"/>
    <hyperlink ref="E6" r:id="rId3" xr:uid="{41F4C21C-C12B-4390-872E-45E8530C7AB4}"/>
    <hyperlink ref="E5" r:id="rId4" xr:uid="{36353AE9-9455-4210-82B8-90A5F6309955}"/>
    <hyperlink ref="E4" r:id="rId5" xr:uid="{2E732EDA-F482-4625-A6D5-9A32D6CDD9E2}"/>
    <hyperlink ref="E3" r:id="rId6" xr:uid="{94128DED-0FB4-4E7A-A1C5-C7C5AC365264}"/>
    <hyperlink ref="E2" r:id="rId7" xr:uid="{FAD20AB4-9F55-4027-9A09-699F90B2FB95}"/>
    <hyperlink ref="E9" r:id="rId8" xr:uid="{95310B57-21E5-458F-9D1F-4CD24B1DEDFC}"/>
    <hyperlink ref="E10" r:id="rId9" xr:uid="{CDDE4DD1-C413-4773-A888-B23DA577F8C8}"/>
    <hyperlink ref="E11" r:id="rId10" xr:uid="{19B6B4B3-6F14-47A2-A906-49F69B9E366E}"/>
    <hyperlink ref="E17" r:id="rId11" xr:uid="{0C05439A-1A10-410A-9C21-706FC391AF2C}"/>
    <hyperlink ref="E12" r:id="rId12" xr:uid="{1333F20F-5250-4E60-ABFA-93B207FEDBF0}"/>
    <hyperlink ref="E13" r:id="rId13" xr:uid="{B8DC7251-6551-4E0A-A233-F9CB5543CDE4}"/>
    <hyperlink ref="E14" r:id="rId14" xr:uid="{7535B8D5-7D67-4F21-801F-DC285E838677}"/>
    <hyperlink ref="E15" r:id="rId15" xr:uid="{8CAFF0F7-D4BD-4D56-9D71-40736FE50183}"/>
    <hyperlink ref="E16" r:id="rId16" xr:uid="{99807A36-DBA6-4231-B478-50D1E506099A}"/>
    <hyperlink ref="E19" r:id="rId17" xr:uid="{C0C7F83B-0C0D-40C3-AE82-8EC61E848ADB}"/>
    <hyperlink ref="E20" r:id="rId18" xr:uid="{88623675-864C-4A07-96A7-5D1083DA3DB6}"/>
    <hyperlink ref="E21" r:id="rId19" xr:uid="{A8B46C63-CC9A-4B1E-AF31-D82E41E3B6F8}"/>
    <hyperlink ref="E22" r:id="rId20" xr:uid="{519582D2-57B9-44A7-BDEB-E8C2C99170D6}"/>
    <hyperlink ref="E23" r:id="rId21" xr:uid="{1BB4633E-AAB2-4079-BCAE-9D70F1C2EBE0}"/>
    <hyperlink ref="E24" r:id="rId22" xr:uid="{88B8CEF0-CD9D-4774-B6AC-2B0BAD8DBB42}"/>
    <hyperlink ref="E25" r:id="rId23" xr:uid="{42092417-0038-4304-A369-DF03ECA5A58D}"/>
    <hyperlink ref="E26" r:id="rId24" xr:uid="{D1F3A19D-31F1-479F-9575-FADCC61BD88A}"/>
    <hyperlink ref="E27" r:id="rId25" xr:uid="{16DEAA1B-07F0-4FA6-B720-8E822A77D753}"/>
    <hyperlink ref="E28" r:id="rId26" xr:uid="{A580FEEC-21B9-4D73-B1BE-3CA89389561A}"/>
    <hyperlink ref="E29" r:id="rId27" xr:uid="{8904D8D2-51FC-4447-BCD1-717382BD44CB}"/>
    <hyperlink ref="E30" r:id="rId28" xr:uid="{23445E7F-36A3-4785-9358-55884F22663F}"/>
    <hyperlink ref="E31" r:id="rId29" xr:uid="{41E795F7-29A6-4001-BFD8-71E2B1F3420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2CEC-853B-425B-AEA9-8940A2C0FBE0}">
  <dimension ref="A1:O142"/>
  <sheetViews>
    <sheetView topLeftCell="K1" zoomScale="102" workbookViewId="0">
      <selection activeCell="M2" sqref="M2"/>
    </sheetView>
  </sheetViews>
  <sheetFormatPr defaultRowHeight="14.4" x14ac:dyDescent="0.3"/>
  <cols>
    <col min="1" max="1" width="15.109375" customWidth="1"/>
    <col min="2" max="2" width="13.6640625" customWidth="1"/>
    <col min="3" max="3" width="22.6640625" style="7" customWidth="1"/>
    <col min="4" max="4" width="16.88671875" customWidth="1"/>
    <col min="5" max="5" width="14.5546875" customWidth="1"/>
    <col min="6" max="6" width="23.6640625" customWidth="1"/>
    <col min="7" max="7" width="16.44140625" style="6" customWidth="1"/>
    <col min="8" max="8" width="19" customWidth="1"/>
    <col min="9" max="9" width="25.21875" customWidth="1"/>
    <col min="10" max="10" width="14.44140625" customWidth="1"/>
    <col min="11" max="11" width="15.109375" customWidth="1"/>
    <col min="13" max="13" width="47.77734375" bestFit="1" customWidth="1"/>
    <col min="14" max="14" width="63.5546875" customWidth="1"/>
    <col min="25" max="25" width="16.88671875" customWidth="1"/>
  </cols>
  <sheetData>
    <row r="1" spans="1:15" x14ac:dyDescent="0.3">
      <c r="A1" s="9" t="s">
        <v>149</v>
      </c>
      <c r="B1" s="9" t="s">
        <v>0</v>
      </c>
      <c r="C1" s="11" t="s">
        <v>148</v>
      </c>
      <c r="D1" s="9" t="s">
        <v>147</v>
      </c>
      <c r="E1" s="9" t="s">
        <v>146</v>
      </c>
      <c r="F1" s="9" t="s">
        <v>145</v>
      </c>
      <c r="G1" s="10" t="s">
        <v>144</v>
      </c>
      <c r="H1" s="9" t="s">
        <v>143</v>
      </c>
      <c r="I1" s="9" t="s">
        <v>142</v>
      </c>
      <c r="J1" s="9" t="s">
        <v>141</v>
      </c>
      <c r="K1" s="9" t="s">
        <v>140</v>
      </c>
    </row>
    <row r="2" spans="1:15" x14ac:dyDescent="0.3">
      <c r="A2">
        <v>3935</v>
      </c>
      <c r="B2">
        <v>100</v>
      </c>
      <c r="C2" s="8">
        <v>45490.91746527778</v>
      </c>
      <c r="D2">
        <v>81</v>
      </c>
      <c r="E2" t="s">
        <v>138</v>
      </c>
      <c r="F2" t="s">
        <v>137</v>
      </c>
      <c r="G2" s="6">
        <v>200</v>
      </c>
      <c r="H2" t="s">
        <v>132</v>
      </c>
      <c r="I2" t="s">
        <v>139</v>
      </c>
      <c r="J2" t="s">
        <v>130</v>
      </c>
      <c r="K2" t="s">
        <v>129</v>
      </c>
      <c r="M2" t="str">
        <f t="shared" ref="M2:M33" si="0">CONCATENATE("Insert Into Inspection Values(",A2,",",B2,",'",TEXT(C2,"DD-MMM-YYYY"),"'")</f>
        <v>Insert Into Inspection Values(3935,100,'17-Jul-2024'</v>
      </c>
      <c r="N2" t="str">
        <f t="shared" ref="N2:N33" si="1">","&amp;D2&amp;",'"&amp;E2&amp;"','"&amp;F2&amp;"',"&amp;G2&amp;",'"&amp;H2&amp;"','"&amp;I2&amp;"','"&amp;J2&amp;"','"&amp;K2&amp;"');"</f>
        <v>,81,'Fail','Adequate',200,'Excellent','Very Clean','Good','Satisfactory');</v>
      </c>
      <c r="O2" t="str">
        <f t="shared" ref="O2:O33" si="2">CONCATENATE(M2,N2)</f>
        <v>Insert Into Inspection Values(3935,100,'17-Jul-2024',81,'Fail','Adequate',200,'Excellent','Very Clean','Good','Satisfactory');</v>
      </c>
    </row>
    <row r="3" spans="1:15" x14ac:dyDescent="0.3">
      <c r="A3">
        <v>9763</v>
      </c>
      <c r="B3">
        <v>101</v>
      </c>
      <c r="C3" s="8">
        <v>45448.917462896177</v>
      </c>
      <c r="D3">
        <v>78</v>
      </c>
      <c r="E3" t="s">
        <v>134</v>
      </c>
      <c r="F3" t="s">
        <v>133</v>
      </c>
      <c r="G3" s="6">
        <v>300</v>
      </c>
      <c r="H3" t="s">
        <v>130</v>
      </c>
      <c r="I3" t="s">
        <v>131</v>
      </c>
      <c r="J3" t="s">
        <v>133</v>
      </c>
      <c r="K3" t="s">
        <v>132</v>
      </c>
      <c r="M3" t="str">
        <f t="shared" si="0"/>
        <v>Insert Into Inspection Values(9763,101,'05-Jun-2024'</v>
      </c>
      <c r="N3" t="str">
        <f t="shared" si="1"/>
        <v>,78,'Pass','Poor',300,'Good','Very Dirty','Poor','Excellent');</v>
      </c>
      <c r="O3" t="str">
        <f t="shared" si="2"/>
        <v>Insert Into Inspection Values(9763,101,'05-Jun-2024',78,'Pass','Poor',300,'Good','Very Dirty','Poor','Excellent');</v>
      </c>
    </row>
    <row r="4" spans="1:15" x14ac:dyDescent="0.3">
      <c r="A4">
        <v>6426</v>
      </c>
      <c r="B4">
        <v>102</v>
      </c>
      <c r="C4" s="8">
        <v>45397.917462896243</v>
      </c>
      <c r="D4">
        <v>65</v>
      </c>
      <c r="E4" t="s">
        <v>134</v>
      </c>
      <c r="F4" t="s">
        <v>133</v>
      </c>
      <c r="G4" s="6">
        <v>100</v>
      </c>
      <c r="H4" t="s">
        <v>130</v>
      </c>
      <c r="I4" t="s">
        <v>139</v>
      </c>
      <c r="J4" t="s">
        <v>132</v>
      </c>
      <c r="K4" t="s">
        <v>132</v>
      </c>
      <c r="M4" t="str">
        <f t="shared" si="0"/>
        <v>Insert Into Inspection Values(6426,102,'15-Apr-2024'</v>
      </c>
      <c r="N4" t="str">
        <f t="shared" si="1"/>
        <v>,65,'Pass','Poor',100,'Good','Very Clean','Excellent','Excellent');</v>
      </c>
      <c r="O4" t="str">
        <f t="shared" si="2"/>
        <v>Insert Into Inspection Values(6426,102,'15-Apr-2024',65,'Pass','Poor',100,'Good','Very Clean','Excellent','Excellent');</v>
      </c>
    </row>
    <row r="5" spans="1:15" x14ac:dyDescent="0.3">
      <c r="A5">
        <v>1566</v>
      </c>
      <c r="B5">
        <v>103</v>
      </c>
      <c r="C5" s="8">
        <v>45582.917462896286</v>
      </c>
      <c r="D5">
        <v>53</v>
      </c>
      <c r="E5" t="s">
        <v>134</v>
      </c>
      <c r="F5" t="s">
        <v>136</v>
      </c>
      <c r="G5" s="6" t="s">
        <v>135</v>
      </c>
      <c r="H5" t="s">
        <v>130</v>
      </c>
      <c r="I5" t="s">
        <v>139</v>
      </c>
      <c r="J5" t="s">
        <v>133</v>
      </c>
      <c r="K5" t="s">
        <v>136</v>
      </c>
      <c r="M5" t="str">
        <f t="shared" si="0"/>
        <v>Insert Into Inspection Values(1566,103,'17-Oct-2024'</v>
      </c>
      <c r="N5" t="str">
        <f t="shared" si="1"/>
        <v>,53,'Pass','Fair',Null,'Good','Very Clean','Poor','Fair');</v>
      </c>
      <c r="O5" t="str">
        <f t="shared" si="2"/>
        <v>Insert Into Inspection Values(1566,103,'17-Oct-2024',53,'Pass','Fair',Null,'Good','Very Clean','Poor','Fair');</v>
      </c>
    </row>
    <row r="6" spans="1:15" x14ac:dyDescent="0.3">
      <c r="A6">
        <v>5029</v>
      </c>
      <c r="B6">
        <v>104</v>
      </c>
      <c r="C6" s="8">
        <v>45361.917462896352</v>
      </c>
      <c r="D6">
        <v>82</v>
      </c>
      <c r="E6" t="s">
        <v>134</v>
      </c>
      <c r="F6" t="s">
        <v>133</v>
      </c>
      <c r="G6" s="6">
        <v>200</v>
      </c>
      <c r="H6" t="s">
        <v>130</v>
      </c>
      <c r="I6" t="s">
        <v>129</v>
      </c>
      <c r="J6" t="s">
        <v>130</v>
      </c>
      <c r="K6" t="s">
        <v>132</v>
      </c>
      <c r="M6" t="str">
        <f t="shared" si="0"/>
        <v>Insert Into Inspection Values(5029,104,'10-Mar-2024'</v>
      </c>
      <c r="N6" t="str">
        <f t="shared" si="1"/>
        <v>,82,'Pass','Poor',200,'Good','Satisfactory','Good','Excellent');</v>
      </c>
      <c r="O6" t="str">
        <f t="shared" si="2"/>
        <v>Insert Into Inspection Values(5029,104,'10-Mar-2024',82,'Pass','Poor',200,'Good','Satisfactory','Good','Excellent');</v>
      </c>
    </row>
    <row r="7" spans="1:15" x14ac:dyDescent="0.3">
      <c r="A7">
        <v>2005</v>
      </c>
      <c r="B7">
        <v>105</v>
      </c>
      <c r="C7" s="8">
        <v>45447.91746289641</v>
      </c>
      <c r="D7">
        <v>51</v>
      </c>
      <c r="E7" t="s">
        <v>138</v>
      </c>
      <c r="F7" t="s">
        <v>137</v>
      </c>
      <c r="G7" s="6">
        <v>100</v>
      </c>
      <c r="H7" t="s">
        <v>133</v>
      </c>
      <c r="I7" t="s">
        <v>131</v>
      </c>
      <c r="J7" t="s">
        <v>133</v>
      </c>
      <c r="K7" t="s">
        <v>129</v>
      </c>
      <c r="M7" t="str">
        <f t="shared" si="0"/>
        <v>Insert Into Inspection Values(2005,105,'04-Jun-2024'</v>
      </c>
      <c r="N7" t="str">
        <f t="shared" si="1"/>
        <v>,51,'Fail','Adequate',100,'Poor','Very Dirty','Poor','Satisfactory');</v>
      </c>
      <c r="O7" t="str">
        <f t="shared" si="2"/>
        <v>Insert Into Inspection Values(2005,105,'04-Jun-2024',51,'Fail','Adequate',100,'Poor','Very Dirty','Poor','Satisfactory');</v>
      </c>
    </row>
    <row r="8" spans="1:15" x14ac:dyDescent="0.3">
      <c r="A8">
        <v>1662</v>
      </c>
      <c r="B8">
        <v>106</v>
      </c>
      <c r="C8" s="8">
        <v>45281.917462896468</v>
      </c>
      <c r="D8">
        <v>51</v>
      </c>
      <c r="E8" t="s">
        <v>138</v>
      </c>
      <c r="F8" t="s">
        <v>137</v>
      </c>
      <c r="G8" s="6">
        <v>100</v>
      </c>
      <c r="H8" t="s">
        <v>133</v>
      </c>
      <c r="I8" t="s">
        <v>129</v>
      </c>
      <c r="J8" t="s">
        <v>133</v>
      </c>
      <c r="K8" t="s">
        <v>136</v>
      </c>
      <c r="M8" t="str">
        <f t="shared" si="0"/>
        <v>Insert Into Inspection Values(1662,106,'21-Dec-2023'</v>
      </c>
      <c r="N8" t="str">
        <f t="shared" si="1"/>
        <v>,51,'Fail','Adequate',100,'Poor','Satisfactory','Poor','Fair');</v>
      </c>
      <c r="O8" t="str">
        <f t="shared" si="2"/>
        <v>Insert Into Inspection Values(1662,106,'21-Dec-2023',51,'Fail','Adequate',100,'Poor','Satisfactory','Poor','Fair');</v>
      </c>
    </row>
    <row r="9" spans="1:15" x14ac:dyDescent="0.3">
      <c r="A9">
        <v>2864</v>
      </c>
      <c r="B9">
        <v>107</v>
      </c>
      <c r="C9" s="8">
        <v>45440.917462896563</v>
      </c>
      <c r="D9">
        <v>67</v>
      </c>
      <c r="E9" t="s">
        <v>138</v>
      </c>
      <c r="F9" t="s">
        <v>137</v>
      </c>
      <c r="G9" s="6">
        <v>300</v>
      </c>
      <c r="H9" t="s">
        <v>132</v>
      </c>
      <c r="I9" t="s">
        <v>139</v>
      </c>
      <c r="J9" t="s">
        <v>130</v>
      </c>
      <c r="K9" t="s">
        <v>132</v>
      </c>
      <c r="M9" t="str">
        <f t="shared" si="0"/>
        <v>Insert Into Inspection Values(2864,107,'28-May-2024'</v>
      </c>
      <c r="N9" t="str">
        <f t="shared" si="1"/>
        <v>,67,'Fail','Adequate',300,'Excellent','Very Clean','Good','Excellent');</v>
      </c>
      <c r="O9" t="str">
        <f t="shared" si="2"/>
        <v>Insert Into Inspection Values(2864,107,'28-May-2024',67,'Fail','Adequate',300,'Excellent','Very Clean','Good','Excellent');</v>
      </c>
    </row>
    <row r="10" spans="1:15" x14ac:dyDescent="0.3">
      <c r="A10">
        <v>6859</v>
      </c>
      <c r="B10">
        <v>108</v>
      </c>
      <c r="C10" s="8">
        <v>45444.917462896687</v>
      </c>
      <c r="D10">
        <v>73</v>
      </c>
      <c r="E10" t="s">
        <v>134</v>
      </c>
      <c r="F10" t="s">
        <v>137</v>
      </c>
      <c r="G10" s="6">
        <v>200</v>
      </c>
      <c r="H10" t="s">
        <v>132</v>
      </c>
      <c r="I10" t="s">
        <v>129</v>
      </c>
      <c r="J10" t="s">
        <v>132</v>
      </c>
      <c r="K10" t="s">
        <v>132</v>
      </c>
      <c r="M10" t="str">
        <f t="shared" si="0"/>
        <v>Insert Into Inspection Values(6859,108,'01-Jun-2024'</v>
      </c>
      <c r="N10" t="str">
        <f t="shared" si="1"/>
        <v>,73,'Pass','Adequate',200,'Excellent','Satisfactory','Excellent','Excellent');</v>
      </c>
      <c r="O10" t="str">
        <f t="shared" si="2"/>
        <v>Insert Into Inspection Values(6859,108,'01-Jun-2024',73,'Pass','Adequate',200,'Excellent','Satisfactory','Excellent','Excellent');</v>
      </c>
    </row>
    <row r="11" spans="1:15" x14ac:dyDescent="0.3">
      <c r="A11">
        <v>8420</v>
      </c>
      <c r="B11">
        <v>109</v>
      </c>
      <c r="C11" s="8">
        <v>45440.917462896803</v>
      </c>
      <c r="D11">
        <v>66</v>
      </c>
      <c r="E11" t="s">
        <v>138</v>
      </c>
      <c r="F11" t="s">
        <v>136</v>
      </c>
      <c r="G11" s="6">
        <v>200</v>
      </c>
      <c r="H11" t="s">
        <v>130</v>
      </c>
      <c r="I11" t="s">
        <v>131</v>
      </c>
      <c r="J11" t="s">
        <v>133</v>
      </c>
      <c r="K11" t="s">
        <v>136</v>
      </c>
      <c r="M11" t="str">
        <f t="shared" si="0"/>
        <v>Insert Into Inspection Values(8420,109,'28-May-2024'</v>
      </c>
      <c r="N11" t="str">
        <f t="shared" si="1"/>
        <v>,66,'Fail','Fair',200,'Good','Very Dirty','Poor','Fair');</v>
      </c>
      <c r="O11" t="str">
        <f t="shared" si="2"/>
        <v>Insert Into Inspection Values(8420,109,'28-May-2024',66,'Fail','Fair',200,'Good','Very Dirty','Poor','Fair');</v>
      </c>
    </row>
    <row r="12" spans="1:15" x14ac:dyDescent="0.3">
      <c r="A12">
        <v>3054</v>
      </c>
      <c r="B12">
        <v>110</v>
      </c>
      <c r="C12" s="8">
        <v>45313.917462896883</v>
      </c>
      <c r="D12">
        <v>94</v>
      </c>
      <c r="E12" t="s">
        <v>138</v>
      </c>
      <c r="F12" t="s">
        <v>133</v>
      </c>
      <c r="G12" s="6" t="s">
        <v>135</v>
      </c>
      <c r="H12" t="s">
        <v>130</v>
      </c>
      <c r="I12" t="s">
        <v>129</v>
      </c>
      <c r="J12" t="s">
        <v>130</v>
      </c>
      <c r="K12" t="s">
        <v>136</v>
      </c>
      <c r="M12" t="str">
        <f t="shared" si="0"/>
        <v>Insert Into Inspection Values(3054,110,'22-Jan-2024'</v>
      </c>
      <c r="N12" t="str">
        <f t="shared" si="1"/>
        <v>,94,'Fail','Poor',Null,'Good','Satisfactory','Good','Fair');</v>
      </c>
      <c r="O12" t="str">
        <f t="shared" si="2"/>
        <v>Insert Into Inspection Values(3054,110,'22-Jan-2024',94,'Fail','Poor',Null,'Good','Satisfactory','Good','Fair');</v>
      </c>
    </row>
    <row r="13" spans="1:15" x14ac:dyDescent="0.3">
      <c r="A13">
        <v>7815</v>
      </c>
      <c r="B13">
        <v>111</v>
      </c>
      <c r="C13" s="8">
        <v>45257.917462896978</v>
      </c>
      <c r="D13">
        <v>65</v>
      </c>
      <c r="E13" t="s">
        <v>134</v>
      </c>
      <c r="F13" t="s">
        <v>136</v>
      </c>
      <c r="G13" s="6">
        <v>100</v>
      </c>
      <c r="H13" t="s">
        <v>132</v>
      </c>
      <c r="I13" t="s">
        <v>139</v>
      </c>
      <c r="J13" t="s">
        <v>133</v>
      </c>
      <c r="K13" t="s">
        <v>129</v>
      </c>
      <c r="M13" t="str">
        <f t="shared" si="0"/>
        <v>Insert Into Inspection Values(7815,111,'27-Nov-2023'</v>
      </c>
      <c r="N13" t="str">
        <f t="shared" si="1"/>
        <v>,65,'Pass','Fair',100,'Excellent','Very Clean','Poor','Satisfactory');</v>
      </c>
      <c r="O13" t="str">
        <f t="shared" si="2"/>
        <v>Insert Into Inspection Values(7815,111,'27-Nov-2023',65,'Pass','Fair',100,'Excellent','Very Clean','Poor','Satisfactory');</v>
      </c>
    </row>
    <row r="14" spans="1:15" x14ac:dyDescent="0.3">
      <c r="A14">
        <v>7465</v>
      </c>
      <c r="B14">
        <v>112</v>
      </c>
      <c r="C14" s="8">
        <v>45592.91746289713</v>
      </c>
      <c r="D14">
        <v>87</v>
      </c>
      <c r="E14" t="s">
        <v>134</v>
      </c>
      <c r="F14" t="s">
        <v>137</v>
      </c>
      <c r="G14" s="6">
        <v>200</v>
      </c>
      <c r="H14" t="s">
        <v>130</v>
      </c>
      <c r="I14" t="s">
        <v>131</v>
      </c>
      <c r="J14" t="s">
        <v>130</v>
      </c>
      <c r="K14" t="s">
        <v>129</v>
      </c>
      <c r="M14" t="str">
        <f t="shared" si="0"/>
        <v>Insert Into Inspection Values(7465,112,'27-Oct-2024'</v>
      </c>
      <c r="N14" t="str">
        <f t="shared" si="1"/>
        <v>,87,'Pass','Adequate',200,'Good','Very Dirty','Good','Satisfactory');</v>
      </c>
      <c r="O14" t="str">
        <f t="shared" si="2"/>
        <v>Insert Into Inspection Values(7465,112,'27-Oct-2024',87,'Pass','Adequate',200,'Good','Very Dirty','Good','Satisfactory');</v>
      </c>
    </row>
    <row r="15" spans="1:15" x14ac:dyDescent="0.3">
      <c r="A15">
        <v>1831</v>
      </c>
      <c r="B15">
        <v>113</v>
      </c>
      <c r="C15" s="8">
        <v>45565.917462897189</v>
      </c>
      <c r="D15">
        <v>70</v>
      </c>
      <c r="E15" t="s">
        <v>138</v>
      </c>
      <c r="F15" t="s">
        <v>133</v>
      </c>
      <c r="G15" s="6">
        <v>300</v>
      </c>
      <c r="H15" t="s">
        <v>132</v>
      </c>
      <c r="I15" t="s">
        <v>129</v>
      </c>
      <c r="J15" t="s">
        <v>130</v>
      </c>
      <c r="K15" t="s">
        <v>132</v>
      </c>
      <c r="M15" t="str">
        <f t="shared" si="0"/>
        <v>Insert Into Inspection Values(1831,113,'30-Sep-2024'</v>
      </c>
      <c r="N15" t="str">
        <f t="shared" si="1"/>
        <v>,70,'Fail','Poor',300,'Excellent','Satisfactory','Good','Excellent');</v>
      </c>
      <c r="O15" t="str">
        <f t="shared" si="2"/>
        <v>Insert Into Inspection Values(1831,113,'30-Sep-2024',70,'Fail','Poor',300,'Excellent','Satisfactory','Good','Excellent');</v>
      </c>
    </row>
    <row r="16" spans="1:15" x14ac:dyDescent="0.3">
      <c r="A16">
        <v>7373</v>
      </c>
      <c r="B16">
        <v>114</v>
      </c>
      <c r="C16" s="8">
        <v>45329.917462897247</v>
      </c>
      <c r="D16">
        <v>96</v>
      </c>
      <c r="E16" t="s">
        <v>138</v>
      </c>
      <c r="F16" t="s">
        <v>137</v>
      </c>
      <c r="G16" s="6">
        <v>500</v>
      </c>
      <c r="H16" t="s">
        <v>133</v>
      </c>
      <c r="I16" t="s">
        <v>131</v>
      </c>
      <c r="J16" t="s">
        <v>130</v>
      </c>
      <c r="K16" t="s">
        <v>132</v>
      </c>
      <c r="M16" t="str">
        <f t="shared" si="0"/>
        <v>Insert Into Inspection Values(7373,114,'07-Feb-2024'</v>
      </c>
      <c r="N16" t="str">
        <f t="shared" si="1"/>
        <v>,96,'Fail','Adequate',500,'Poor','Very Dirty','Good','Excellent');</v>
      </c>
      <c r="O16" t="str">
        <f t="shared" si="2"/>
        <v>Insert Into Inspection Values(7373,114,'07-Feb-2024',96,'Fail','Adequate',500,'Poor','Very Dirty','Good','Excellent');</v>
      </c>
    </row>
    <row r="17" spans="1:15" x14ac:dyDescent="0.3">
      <c r="A17">
        <v>6994</v>
      </c>
      <c r="B17">
        <v>115</v>
      </c>
      <c r="C17" s="8">
        <v>45328.917462897291</v>
      </c>
      <c r="D17">
        <v>99</v>
      </c>
      <c r="E17" t="s">
        <v>138</v>
      </c>
      <c r="F17" t="s">
        <v>136</v>
      </c>
      <c r="G17" s="6">
        <v>100</v>
      </c>
      <c r="H17" t="s">
        <v>133</v>
      </c>
      <c r="I17" t="s">
        <v>131</v>
      </c>
      <c r="J17" t="s">
        <v>133</v>
      </c>
      <c r="K17" t="s">
        <v>136</v>
      </c>
      <c r="M17" t="str">
        <f t="shared" si="0"/>
        <v>Insert Into Inspection Values(6994,115,'06-Feb-2024'</v>
      </c>
      <c r="N17" t="str">
        <f t="shared" si="1"/>
        <v>,99,'Fail','Fair',100,'Poor','Very Dirty','Poor','Fair');</v>
      </c>
      <c r="O17" t="str">
        <f t="shared" si="2"/>
        <v>Insert Into Inspection Values(6994,115,'06-Feb-2024',99,'Fail','Fair',100,'Poor','Very Dirty','Poor','Fair');</v>
      </c>
    </row>
    <row r="18" spans="1:15" x14ac:dyDescent="0.3">
      <c r="A18">
        <v>5135</v>
      </c>
      <c r="B18">
        <v>116</v>
      </c>
      <c r="C18" s="8">
        <v>45583.917462897349</v>
      </c>
      <c r="D18">
        <v>78</v>
      </c>
      <c r="E18" t="s">
        <v>138</v>
      </c>
      <c r="F18" t="s">
        <v>136</v>
      </c>
      <c r="G18" s="6">
        <v>500</v>
      </c>
      <c r="H18" t="s">
        <v>132</v>
      </c>
      <c r="I18" t="s">
        <v>131</v>
      </c>
      <c r="J18" t="s">
        <v>133</v>
      </c>
      <c r="K18" t="s">
        <v>129</v>
      </c>
      <c r="M18" t="str">
        <f t="shared" si="0"/>
        <v>Insert Into Inspection Values(5135,116,'18-Oct-2024'</v>
      </c>
      <c r="N18" t="str">
        <f t="shared" si="1"/>
        <v>,78,'Fail','Fair',500,'Excellent','Very Dirty','Poor','Satisfactory');</v>
      </c>
      <c r="O18" t="str">
        <f t="shared" si="2"/>
        <v>Insert Into Inspection Values(5135,116,'18-Oct-2024',78,'Fail','Fair',500,'Excellent','Very Dirty','Poor','Satisfactory');</v>
      </c>
    </row>
    <row r="19" spans="1:15" x14ac:dyDescent="0.3">
      <c r="A19">
        <v>3446</v>
      </c>
      <c r="B19">
        <v>117</v>
      </c>
      <c r="C19" s="8">
        <v>45381.917462897407</v>
      </c>
      <c r="D19">
        <v>92</v>
      </c>
      <c r="E19" t="s">
        <v>138</v>
      </c>
      <c r="F19" t="s">
        <v>133</v>
      </c>
      <c r="G19" s="6" t="s">
        <v>135</v>
      </c>
      <c r="H19" t="s">
        <v>132</v>
      </c>
      <c r="I19" t="s">
        <v>129</v>
      </c>
      <c r="J19" t="s">
        <v>130</v>
      </c>
      <c r="K19" t="s">
        <v>136</v>
      </c>
      <c r="M19" t="str">
        <f t="shared" si="0"/>
        <v>Insert Into Inspection Values(3446,117,'30-Mar-2024'</v>
      </c>
      <c r="N19" t="str">
        <f t="shared" si="1"/>
        <v>,92,'Fail','Poor',Null,'Excellent','Satisfactory','Good','Fair');</v>
      </c>
      <c r="O19" t="str">
        <f t="shared" si="2"/>
        <v>Insert Into Inspection Values(3446,117,'30-Mar-2024',92,'Fail','Poor',Null,'Excellent','Satisfactory','Good','Fair');</v>
      </c>
    </row>
    <row r="20" spans="1:15" x14ac:dyDescent="0.3">
      <c r="A20">
        <v>7145</v>
      </c>
      <c r="B20">
        <v>118</v>
      </c>
      <c r="C20" s="8">
        <v>45310.917462897451</v>
      </c>
      <c r="D20">
        <v>87</v>
      </c>
      <c r="E20" t="s">
        <v>138</v>
      </c>
      <c r="F20" t="s">
        <v>133</v>
      </c>
      <c r="G20" s="6">
        <v>500</v>
      </c>
      <c r="H20" t="s">
        <v>132</v>
      </c>
      <c r="I20" t="s">
        <v>139</v>
      </c>
      <c r="J20" t="s">
        <v>130</v>
      </c>
      <c r="K20" t="s">
        <v>129</v>
      </c>
      <c r="M20" t="str">
        <f t="shared" si="0"/>
        <v>Insert Into Inspection Values(7145,118,'19-Jan-2024'</v>
      </c>
      <c r="N20" t="str">
        <f t="shared" si="1"/>
        <v>,87,'Fail','Poor',500,'Excellent','Very Clean','Good','Satisfactory');</v>
      </c>
      <c r="O20" t="str">
        <f t="shared" si="2"/>
        <v>Insert Into Inspection Values(7145,118,'19-Jan-2024',87,'Fail','Poor',500,'Excellent','Very Clean','Good','Satisfactory');</v>
      </c>
    </row>
    <row r="21" spans="1:15" x14ac:dyDescent="0.3">
      <c r="A21">
        <v>3289</v>
      </c>
      <c r="B21">
        <v>119</v>
      </c>
      <c r="C21" s="8">
        <v>45377.917462897509</v>
      </c>
      <c r="D21">
        <v>58</v>
      </c>
      <c r="E21" t="s">
        <v>134</v>
      </c>
      <c r="F21" t="s">
        <v>133</v>
      </c>
      <c r="G21" s="6" t="s">
        <v>135</v>
      </c>
      <c r="H21" t="s">
        <v>130</v>
      </c>
      <c r="I21" t="s">
        <v>129</v>
      </c>
      <c r="J21" t="s">
        <v>132</v>
      </c>
      <c r="K21" t="s">
        <v>129</v>
      </c>
      <c r="M21" t="str">
        <f t="shared" si="0"/>
        <v>Insert Into Inspection Values(3289,119,'26-Mar-2024'</v>
      </c>
      <c r="N21" t="str">
        <f t="shared" si="1"/>
        <v>,58,'Pass','Poor',Null,'Good','Satisfactory','Excellent','Satisfactory');</v>
      </c>
      <c r="O21" t="str">
        <f t="shared" si="2"/>
        <v>Insert Into Inspection Values(3289,119,'26-Mar-2024',58,'Pass','Poor',Null,'Good','Satisfactory','Excellent','Satisfactory');</v>
      </c>
    </row>
    <row r="22" spans="1:15" x14ac:dyDescent="0.3">
      <c r="A22">
        <v>8345</v>
      </c>
      <c r="B22">
        <v>120</v>
      </c>
      <c r="C22" s="8">
        <v>45498.917462897567</v>
      </c>
      <c r="D22">
        <v>58</v>
      </c>
      <c r="E22" t="s">
        <v>138</v>
      </c>
      <c r="F22" t="s">
        <v>137</v>
      </c>
      <c r="G22" s="6">
        <v>100</v>
      </c>
      <c r="H22" t="s">
        <v>130</v>
      </c>
      <c r="I22" t="s">
        <v>139</v>
      </c>
      <c r="J22" t="s">
        <v>130</v>
      </c>
      <c r="K22" t="s">
        <v>132</v>
      </c>
      <c r="M22" t="str">
        <f t="shared" si="0"/>
        <v>Insert Into Inspection Values(8345,120,'25-Jul-2024'</v>
      </c>
      <c r="N22" t="str">
        <f t="shared" si="1"/>
        <v>,58,'Fail','Adequate',100,'Good','Very Clean','Good','Excellent');</v>
      </c>
      <c r="O22" t="str">
        <f t="shared" si="2"/>
        <v>Insert Into Inspection Values(8345,120,'25-Jul-2024',58,'Fail','Adequate',100,'Good','Very Clean','Good','Excellent');</v>
      </c>
    </row>
    <row r="23" spans="1:15" x14ac:dyDescent="0.3">
      <c r="A23">
        <v>3715</v>
      </c>
      <c r="B23">
        <v>121</v>
      </c>
      <c r="C23" s="8">
        <v>45545.917462897618</v>
      </c>
      <c r="D23">
        <v>88</v>
      </c>
      <c r="E23" t="s">
        <v>138</v>
      </c>
      <c r="F23" t="s">
        <v>137</v>
      </c>
      <c r="G23" s="6" t="s">
        <v>135</v>
      </c>
      <c r="H23" t="s">
        <v>130</v>
      </c>
      <c r="I23" t="s">
        <v>129</v>
      </c>
      <c r="J23" t="s">
        <v>130</v>
      </c>
      <c r="K23" t="s">
        <v>136</v>
      </c>
      <c r="M23" t="str">
        <f t="shared" si="0"/>
        <v>Insert Into Inspection Values(3715,121,'10-Sep-2024'</v>
      </c>
      <c r="N23" t="str">
        <f t="shared" si="1"/>
        <v>,88,'Fail','Adequate',Null,'Good','Satisfactory','Good','Fair');</v>
      </c>
      <c r="O23" t="str">
        <f t="shared" si="2"/>
        <v>Insert Into Inspection Values(3715,121,'10-Sep-2024',88,'Fail','Adequate',Null,'Good','Satisfactory','Good','Fair');</v>
      </c>
    </row>
    <row r="24" spans="1:15" x14ac:dyDescent="0.3">
      <c r="A24">
        <v>5191</v>
      </c>
      <c r="B24">
        <v>122</v>
      </c>
      <c r="C24" s="8">
        <v>45406.917462897662</v>
      </c>
      <c r="D24">
        <v>52</v>
      </c>
      <c r="E24" t="s">
        <v>134</v>
      </c>
      <c r="F24" t="s">
        <v>136</v>
      </c>
      <c r="G24" s="6">
        <v>300</v>
      </c>
      <c r="H24" t="s">
        <v>133</v>
      </c>
      <c r="I24" t="s">
        <v>129</v>
      </c>
      <c r="J24" t="s">
        <v>132</v>
      </c>
      <c r="K24" t="s">
        <v>136</v>
      </c>
      <c r="M24" t="str">
        <f t="shared" si="0"/>
        <v>Insert Into Inspection Values(5191,122,'24-Apr-2024'</v>
      </c>
      <c r="N24" t="str">
        <f t="shared" si="1"/>
        <v>,52,'Pass','Fair',300,'Poor','Satisfactory','Excellent','Fair');</v>
      </c>
      <c r="O24" t="str">
        <f t="shared" si="2"/>
        <v>Insert Into Inspection Values(5191,122,'24-Apr-2024',52,'Pass','Fair',300,'Poor','Satisfactory','Excellent','Fair');</v>
      </c>
    </row>
    <row r="25" spans="1:15" x14ac:dyDescent="0.3">
      <c r="A25">
        <v>5059</v>
      </c>
      <c r="B25">
        <v>123</v>
      </c>
      <c r="C25" s="8">
        <v>45333.91746289772</v>
      </c>
      <c r="D25">
        <v>82</v>
      </c>
      <c r="E25" t="s">
        <v>138</v>
      </c>
      <c r="F25" t="s">
        <v>133</v>
      </c>
      <c r="G25" s="6">
        <v>500</v>
      </c>
      <c r="H25" t="s">
        <v>130</v>
      </c>
      <c r="I25" t="s">
        <v>139</v>
      </c>
      <c r="J25" t="s">
        <v>130</v>
      </c>
      <c r="K25" t="s">
        <v>132</v>
      </c>
      <c r="M25" t="str">
        <f t="shared" si="0"/>
        <v>Insert Into Inspection Values(5059,123,'11-Feb-2024'</v>
      </c>
      <c r="N25" t="str">
        <f t="shared" si="1"/>
        <v>,82,'Fail','Poor',500,'Good','Very Clean','Good','Excellent');</v>
      </c>
      <c r="O25" t="str">
        <f t="shared" si="2"/>
        <v>Insert Into Inspection Values(5059,123,'11-Feb-2024',82,'Fail','Poor',500,'Good','Very Clean','Good','Excellent');</v>
      </c>
    </row>
    <row r="26" spans="1:15" x14ac:dyDescent="0.3">
      <c r="A26">
        <v>8211</v>
      </c>
      <c r="B26">
        <v>124</v>
      </c>
      <c r="C26" s="8">
        <v>45247.917462897763</v>
      </c>
      <c r="D26">
        <v>74</v>
      </c>
      <c r="E26" t="s">
        <v>134</v>
      </c>
      <c r="F26" t="s">
        <v>136</v>
      </c>
      <c r="G26" s="6">
        <v>100</v>
      </c>
      <c r="H26" t="s">
        <v>132</v>
      </c>
      <c r="I26" t="s">
        <v>131</v>
      </c>
      <c r="J26" t="s">
        <v>130</v>
      </c>
      <c r="K26" t="s">
        <v>129</v>
      </c>
      <c r="M26" t="str">
        <f t="shared" si="0"/>
        <v>Insert Into Inspection Values(8211,124,'17-Nov-2023'</v>
      </c>
      <c r="N26" t="str">
        <f t="shared" si="1"/>
        <v>,74,'Pass','Fair',100,'Excellent','Very Dirty','Good','Satisfactory');</v>
      </c>
      <c r="O26" t="str">
        <f t="shared" si="2"/>
        <v>Insert Into Inspection Values(8211,124,'17-Nov-2023',74,'Pass','Fair',100,'Excellent','Very Dirty','Good','Satisfactory');</v>
      </c>
    </row>
    <row r="27" spans="1:15" x14ac:dyDescent="0.3">
      <c r="A27">
        <v>5199</v>
      </c>
      <c r="B27">
        <v>125</v>
      </c>
      <c r="C27" s="8">
        <v>45366.917462897822</v>
      </c>
      <c r="D27">
        <v>89</v>
      </c>
      <c r="E27" t="s">
        <v>138</v>
      </c>
      <c r="F27" t="s">
        <v>137</v>
      </c>
      <c r="G27" s="6">
        <v>500</v>
      </c>
      <c r="H27" t="s">
        <v>130</v>
      </c>
      <c r="I27" t="s">
        <v>131</v>
      </c>
      <c r="J27" t="s">
        <v>130</v>
      </c>
      <c r="K27" t="s">
        <v>132</v>
      </c>
      <c r="M27" t="str">
        <f t="shared" si="0"/>
        <v>Insert Into Inspection Values(5199,125,'15-Mar-2024'</v>
      </c>
      <c r="N27" t="str">
        <f t="shared" si="1"/>
        <v>,89,'Fail','Adequate',500,'Good','Very Dirty','Good','Excellent');</v>
      </c>
      <c r="O27" t="str">
        <f t="shared" si="2"/>
        <v>Insert Into Inspection Values(5199,125,'15-Mar-2024',89,'Fail','Adequate',500,'Good','Very Dirty','Good','Excellent');</v>
      </c>
    </row>
    <row r="28" spans="1:15" x14ac:dyDescent="0.3">
      <c r="A28">
        <v>8842</v>
      </c>
      <c r="B28">
        <v>126</v>
      </c>
      <c r="C28" s="8">
        <v>45598.91746289788</v>
      </c>
      <c r="D28">
        <v>64</v>
      </c>
      <c r="E28" t="s">
        <v>138</v>
      </c>
      <c r="F28" t="s">
        <v>137</v>
      </c>
      <c r="G28" s="6">
        <v>300</v>
      </c>
      <c r="H28" t="s">
        <v>132</v>
      </c>
      <c r="I28" t="s">
        <v>139</v>
      </c>
      <c r="J28" t="s">
        <v>133</v>
      </c>
      <c r="K28" t="s">
        <v>136</v>
      </c>
      <c r="M28" t="str">
        <f t="shared" si="0"/>
        <v>Insert Into Inspection Values(8842,126,'02-Nov-2024'</v>
      </c>
      <c r="N28" t="str">
        <f t="shared" si="1"/>
        <v>,64,'Fail','Adequate',300,'Excellent','Very Clean','Poor','Fair');</v>
      </c>
      <c r="O28" t="str">
        <f t="shared" si="2"/>
        <v>Insert Into Inspection Values(8842,126,'02-Nov-2024',64,'Fail','Adequate',300,'Excellent','Very Clean','Poor','Fair');</v>
      </c>
    </row>
    <row r="29" spans="1:15" x14ac:dyDescent="0.3">
      <c r="A29">
        <v>6115</v>
      </c>
      <c r="B29">
        <v>127</v>
      </c>
      <c r="C29" s="8">
        <v>45576.917462897931</v>
      </c>
      <c r="D29">
        <v>83</v>
      </c>
      <c r="E29" t="s">
        <v>138</v>
      </c>
      <c r="F29" t="s">
        <v>133</v>
      </c>
      <c r="G29" s="6">
        <v>500</v>
      </c>
      <c r="H29" t="s">
        <v>132</v>
      </c>
      <c r="I29" t="s">
        <v>129</v>
      </c>
      <c r="J29" t="s">
        <v>130</v>
      </c>
      <c r="K29" t="s">
        <v>132</v>
      </c>
      <c r="M29" t="str">
        <f t="shared" si="0"/>
        <v>Insert Into Inspection Values(6115,127,'11-Oct-2024'</v>
      </c>
      <c r="N29" t="str">
        <f t="shared" si="1"/>
        <v>,83,'Fail','Poor',500,'Excellent','Satisfactory','Good','Excellent');</v>
      </c>
      <c r="O29" t="str">
        <f t="shared" si="2"/>
        <v>Insert Into Inspection Values(6115,127,'11-Oct-2024',83,'Fail','Poor',500,'Excellent','Satisfactory','Good','Excellent');</v>
      </c>
    </row>
    <row r="30" spans="1:15" x14ac:dyDescent="0.3">
      <c r="A30">
        <v>5070</v>
      </c>
      <c r="B30">
        <v>128</v>
      </c>
      <c r="C30" s="8">
        <v>45279.917462897989</v>
      </c>
      <c r="D30">
        <v>93</v>
      </c>
      <c r="E30" t="s">
        <v>134</v>
      </c>
      <c r="F30" t="s">
        <v>133</v>
      </c>
      <c r="G30" s="6" t="s">
        <v>135</v>
      </c>
      <c r="H30" t="s">
        <v>130</v>
      </c>
      <c r="I30" t="s">
        <v>139</v>
      </c>
      <c r="J30" t="s">
        <v>130</v>
      </c>
      <c r="K30" t="s">
        <v>136</v>
      </c>
      <c r="M30" t="str">
        <f t="shared" si="0"/>
        <v>Insert Into Inspection Values(5070,128,'19-Dec-2023'</v>
      </c>
      <c r="N30" t="str">
        <f t="shared" si="1"/>
        <v>,93,'Pass','Poor',Null,'Good','Very Clean','Good','Fair');</v>
      </c>
      <c r="O30" t="str">
        <f t="shared" si="2"/>
        <v>Insert Into Inspection Values(5070,128,'19-Dec-2023',93,'Pass','Poor',Null,'Good','Very Clean','Good','Fair');</v>
      </c>
    </row>
    <row r="31" spans="1:15" x14ac:dyDescent="0.3">
      <c r="A31">
        <v>7386</v>
      </c>
      <c r="B31">
        <v>129</v>
      </c>
      <c r="C31" s="8">
        <v>45329.917462898033</v>
      </c>
      <c r="D31">
        <v>94</v>
      </c>
      <c r="E31" t="s">
        <v>134</v>
      </c>
      <c r="F31" t="s">
        <v>137</v>
      </c>
      <c r="G31" s="6" t="s">
        <v>135</v>
      </c>
      <c r="H31" t="s">
        <v>132</v>
      </c>
      <c r="I31" t="s">
        <v>139</v>
      </c>
      <c r="J31" t="s">
        <v>130</v>
      </c>
      <c r="K31" t="s">
        <v>136</v>
      </c>
      <c r="M31" t="str">
        <f t="shared" si="0"/>
        <v>Insert Into Inspection Values(7386,129,'07-Feb-2024'</v>
      </c>
      <c r="N31" t="str">
        <f t="shared" si="1"/>
        <v>,94,'Pass','Adequate',Null,'Excellent','Very Clean','Good','Fair');</v>
      </c>
      <c r="O31" t="str">
        <f t="shared" si="2"/>
        <v>Insert Into Inspection Values(7386,129,'07-Feb-2024',94,'Pass','Adequate',Null,'Excellent','Very Clean','Good','Fair');</v>
      </c>
    </row>
    <row r="32" spans="1:15" x14ac:dyDescent="0.3">
      <c r="A32">
        <v>8937</v>
      </c>
      <c r="B32">
        <v>100</v>
      </c>
      <c r="C32" s="8">
        <v>45422.917462898091</v>
      </c>
      <c r="D32">
        <v>51</v>
      </c>
      <c r="E32" t="s">
        <v>134</v>
      </c>
      <c r="F32" t="s">
        <v>137</v>
      </c>
      <c r="G32" s="6">
        <v>100</v>
      </c>
      <c r="H32" t="s">
        <v>132</v>
      </c>
      <c r="I32" t="s">
        <v>131</v>
      </c>
      <c r="J32" t="s">
        <v>130</v>
      </c>
      <c r="K32" t="s">
        <v>132</v>
      </c>
      <c r="M32" t="str">
        <f t="shared" si="0"/>
        <v>Insert Into Inspection Values(8937,100,'10-May-2024'</v>
      </c>
      <c r="N32" t="str">
        <f t="shared" si="1"/>
        <v>,51,'Pass','Adequate',100,'Excellent','Very Dirty','Good','Excellent');</v>
      </c>
      <c r="O32" t="str">
        <f t="shared" si="2"/>
        <v>Insert Into Inspection Values(8937,100,'10-May-2024',51,'Pass','Adequate',100,'Excellent','Very Dirty','Good','Excellent');</v>
      </c>
    </row>
    <row r="33" spans="1:15" x14ac:dyDescent="0.3">
      <c r="A33">
        <v>8977</v>
      </c>
      <c r="B33">
        <v>101</v>
      </c>
      <c r="C33" s="8">
        <v>45420.917462898149</v>
      </c>
      <c r="D33">
        <v>56</v>
      </c>
      <c r="E33" t="s">
        <v>138</v>
      </c>
      <c r="F33" t="s">
        <v>136</v>
      </c>
      <c r="G33" s="6">
        <v>200</v>
      </c>
      <c r="H33" t="s">
        <v>130</v>
      </c>
      <c r="I33" t="s">
        <v>131</v>
      </c>
      <c r="J33" t="s">
        <v>133</v>
      </c>
      <c r="K33" t="s">
        <v>132</v>
      </c>
      <c r="M33" t="str">
        <f t="shared" si="0"/>
        <v>Insert Into Inspection Values(8977,101,'08-May-2024'</v>
      </c>
      <c r="N33" t="str">
        <f t="shared" si="1"/>
        <v>,56,'Fail','Fair',200,'Good','Very Dirty','Poor','Excellent');</v>
      </c>
      <c r="O33" t="str">
        <f t="shared" si="2"/>
        <v>Insert Into Inspection Values(8977,101,'08-May-2024',56,'Fail','Fair',200,'Good','Very Dirty','Poor','Excellent');</v>
      </c>
    </row>
    <row r="34" spans="1:15" x14ac:dyDescent="0.3">
      <c r="A34">
        <v>4699</v>
      </c>
      <c r="B34">
        <v>102</v>
      </c>
      <c r="C34" s="8">
        <v>45250.917462898193</v>
      </c>
      <c r="D34">
        <v>68</v>
      </c>
      <c r="E34" t="s">
        <v>134</v>
      </c>
      <c r="F34" t="s">
        <v>136</v>
      </c>
      <c r="G34" s="6" t="s">
        <v>135</v>
      </c>
      <c r="H34" t="s">
        <v>132</v>
      </c>
      <c r="I34" t="s">
        <v>139</v>
      </c>
      <c r="J34" t="s">
        <v>132</v>
      </c>
      <c r="K34" t="s">
        <v>136</v>
      </c>
      <c r="M34" t="str">
        <f t="shared" ref="M34:M65" si="3">CONCATENATE("Insert Into Inspection Values(",A34,",",B34,",'",TEXT(C34,"DD-MMM-YYYY"),"'")</f>
        <v>Insert Into Inspection Values(4699,102,'20-Nov-2023'</v>
      </c>
      <c r="N34" t="str">
        <f t="shared" ref="N34:N65" si="4">","&amp;D34&amp;",'"&amp;E34&amp;"','"&amp;F34&amp;"',"&amp;G34&amp;",'"&amp;H34&amp;"','"&amp;I34&amp;"','"&amp;J34&amp;"','"&amp;K34&amp;"');"</f>
        <v>,68,'Pass','Fair',Null,'Excellent','Very Clean','Excellent','Fair');</v>
      </c>
      <c r="O34" t="str">
        <f t="shared" ref="O34:O65" si="5">CONCATENATE(M34,N34)</f>
        <v>Insert Into Inspection Values(4699,102,'20-Nov-2023',68,'Pass','Fair',Null,'Excellent','Very Clean','Excellent','Fair');</v>
      </c>
    </row>
    <row r="35" spans="1:15" x14ac:dyDescent="0.3">
      <c r="A35">
        <v>6830</v>
      </c>
      <c r="B35">
        <v>103</v>
      </c>
      <c r="C35" s="8">
        <v>45374.917462898251</v>
      </c>
      <c r="D35">
        <v>90</v>
      </c>
      <c r="E35" t="s">
        <v>134</v>
      </c>
      <c r="F35" t="s">
        <v>137</v>
      </c>
      <c r="G35" s="6">
        <v>500</v>
      </c>
      <c r="H35" t="s">
        <v>133</v>
      </c>
      <c r="I35" t="s">
        <v>129</v>
      </c>
      <c r="J35" t="s">
        <v>133</v>
      </c>
      <c r="K35" t="s">
        <v>136</v>
      </c>
      <c r="M35" t="str">
        <f t="shared" si="3"/>
        <v>Insert Into Inspection Values(6830,103,'23-Mar-2024'</v>
      </c>
      <c r="N35" t="str">
        <f t="shared" si="4"/>
        <v>,90,'Pass','Adequate',500,'Poor','Satisfactory','Poor','Fair');</v>
      </c>
      <c r="O35" t="str">
        <f t="shared" si="5"/>
        <v>Insert Into Inspection Values(6830,103,'23-Mar-2024',90,'Pass','Adequate',500,'Poor','Satisfactory','Poor','Fair');</v>
      </c>
    </row>
    <row r="36" spans="1:15" x14ac:dyDescent="0.3">
      <c r="A36">
        <v>3361</v>
      </c>
      <c r="B36">
        <v>104</v>
      </c>
      <c r="C36" s="8">
        <v>45582.917462898302</v>
      </c>
      <c r="D36">
        <v>75</v>
      </c>
      <c r="E36" t="s">
        <v>134</v>
      </c>
      <c r="F36" t="s">
        <v>133</v>
      </c>
      <c r="G36" s="6">
        <v>300</v>
      </c>
      <c r="H36" t="s">
        <v>132</v>
      </c>
      <c r="I36" t="s">
        <v>129</v>
      </c>
      <c r="J36" t="s">
        <v>133</v>
      </c>
      <c r="K36" t="s">
        <v>136</v>
      </c>
      <c r="M36" t="str">
        <f t="shared" si="3"/>
        <v>Insert Into Inspection Values(3361,104,'17-Oct-2024'</v>
      </c>
      <c r="N36" t="str">
        <f t="shared" si="4"/>
        <v>,75,'Pass','Poor',300,'Excellent','Satisfactory','Poor','Fair');</v>
      </c>
      <c r="O36" t="str">
        <f t="shared" si="5"/>
        <v>Insert Into Inspection Values(3361,104,'17-Oct-2024',75,'Pass','Poor',300,'Excellent','Satisfactory','Poor','Fair');</v>
      </c>
    </row>
    <row r="37" spans="1:15" x14ac:dyDescent="0.3">
      <c r="A37">
        <v>2374</v>
      </c>
      <c r="B37">
        <v>105</v>
      </c>
      <c r="C37" s="8">
        <v>45490.91746289836</v>
      </c>
      <c r="D37">
        <v>80</v>
      </c>
      <c r="E37" t="s">
        <v>134</v>
      </c>
      <c r="F37" t="s">
        <v>133</v>
      </c>
      <c r="G37" s="6">
        <v>100</v>
      </c>
      <c r="H37" t="s">
        <v>133</v>
      </c>
      <c r="I37" t="s">
        <v>129</v>
      </c>
      <c r="J37" t="s">
        <v>132</v>
      </c>
      <c r="K37" t="s">
        <v>129</v>
      </c>
      <c r="M37" t="str">
        <f t="shared" si="3"/>
        <v>Insert Into Inspection Values(2374,105,'17-Jul-2024'</v>
      </c>
      <c r="N37" t="str">
        <f t="shared" si="4"/>
        <v>,80,'Pass','Poor',100,'Poor','Satisfactory','Excellent','Satisfactory');</v>
      </c>
      <c r="O37" t="str">
        <f t="shared" si="5"/>
        <v>Insert Into Inspection Values(2374,105,'17-Jul-2024',80,'Pass','Poor',100,'Poor','Satisfactory','Excellent','Satisfactory');</v>
      </c>
    </row>
    <row r="38" spans="1:15" x14ac:dyDescent="0.3">
      <c r="A38">
        <v>6261</v>
      </c>
      <c r="B38">
        <v>106</v>
      </c>
      <c r="C38" s="8">
        <v>45610.917462898396</v>
      </c>
      <c r="D38">
        <v>82</v>
      </c>
      <c r="E38" t="s">
        <v>138</v>
      </c>
      <c r="F38" t="s">
        <v>133</v>
      </c>
      <c r="G38" s="6">
        <v>200</v>
      </c>
      <c r="H38" t="s">
        <v>132</v>
      </c>
      <c r="I38" t="s">
        <v>139</v>
      </c>
      <c r="J38" t="s">
        <v>132</v>
      </c>
      <c r="K38" t="s">
        <v>132</v>
      </c>
      <c r="M38" t="str">
        <f t="shared" si="3"/>
        <v>Insert Into Inspection Values(6261,106,'14-Nov-2024'</v>
      </c>
      <c r="N38" t="str">
        <f t="shared" si="4"/>
        <v>,82,'Fail','Poor',200,'Excellent','Very Clean','Excellent','Excellent');</v>
      </c>
      <c r="O38" t="str">
        <f t="shared" si="5"/>
        <v>Insert Into Inspection Values(6261,106,'14-Nov-2024',82,'Fail','Poor',200,'Excellent','Very Clean','Excellent','Excellent');</v>
      </c>
    </row>
    <row r="39" spans="1:15" x14ac:dyDescent="0.3">
      <c r="A39">
        <v>2228</v>
      </c>
      <c r="B39">
        <v>107</v>
      </c>
      <c r="C39" s="8">
        <v>45272.917462898462</v>
      </c>
      <c r="D39">
        <v>64</v>
      </c>
      <c r="E39" t="s">
        <v>134</v>
      </c>
      <c r="F39" t="s">
        <v>133</v>
      </c>
      <c r="G39" s="6">
        <v>200</v>
      </c>
      <c r="H39" t="s">
        <v>130</v>
      </c>
      <c r="I39" t="s">
        <v>129</v>
      </c>
      <c r="J39" t="s">
        <v>132</v>
      </c>
      <c r="K39" t="s">
        <v>136</v>
      </c>
      <c r="M39" t="str">
        <f t="shared" si="3"/>
        <v>Insert Into Inspection Values(2228,107,'12-Dec-2023'</v>
      </c>
      <c r="N39" t="str">
        <f t="shared" si="4"/>
        <v>,64,'Pass','Poor',200,'Good','Satisfactory','Excellent','Fair');</v>
      </c>
      <c r="O39" t="str">
        <f t="shared" si="5"/>
        <v>Insert Into Inspection Values(2228,107,'12-Dec-2023',64,'Pass','Poor',200,'Good','Satisfactory','Excellent','Fair');</v>
      </c>
    </row>
    <row r="40" spans="1:15" x14ac:dyDescent="0.3">
      <c r="A40">
        <v>3151</v>
      </c>
      <c r="B40">
        <v>108</v>
      </c>
      <c r="C40" s="8">
        <v>45493.917462898513</v>
      </c>
      <c r="D40">
        <v>72</v>
      </c>
      <c r="E40" t="s">
        <v>138</v>
      </c>
      <c r="F40" t="s">
        <v>136</v>
      </c>
      <c r="G40" s="6">
        <v>300</v>
      </c>
      <c r="H40" t="s">
        <v>132</v>
      </c>
      <c r="I40" t="s">
        <v>131</v>
      </c>
      <c r="J40" t="s">
        <v>133</v>
      </c>
      <c r="K40" t="s">
        <v>132</v>
      </c>
      <c r="M40" t="str">
        <f t="shared" si="3"/>
        <v>Insert Into Inspection Values(3151,108,'20-Jul-2024'</v>
      </c>
      <c r="N40" t="str">
        <f t="shared" si="4"/>
        <v>,72,'Fail','Fair',300,'Excellent','Very Dirty','Poor','Excellent');</v>
      </c>
      <c r="O40" t="str">
        <f t="shared" si="5"/>
        <v>Insert Into Inspection Values(3151,108,'20-Jul-2024',72,'Fail','Fair',300,'Excellent','Very Dirty','Poor','Excellent');</v>
      </c>
    </row>
    <row r="41" spans="1:15" x14ac:dyDescent="0.3">
      <c r="A41">
        <v>2881</v>
      </c>
      <c r="B41">
        <v>109</v>
      </c>
      <c r="C41" s="8">
        <v>45609.917462898593</v>
      </c>
      <c r="D41">
        <v>53</v>
      </c>
      <c r="E41" t="s">
        <v>138</v>
      </c>
      <c r="F41" t="s">
        <v>137</v>
      </c>
      <c r="G41" s="6" t="s">
        <v>135</v>
      </c>
      <c r="H41" t="s">
        <v>132</v>
      </c>
      <c r="I41" t="s">
        <v>129</v>
      </c>
      <c r="J41" t="s">
        <v>132</v>
      </c>
      <c r="K41" t="s">
        <v>136</v>
      </c>
      <c r="M41" t="str">
        <f t="shared" si="3"/>
        <v>Insert Into Inspection Values(2881,109,'13-Nov-2024'</v>
      </c>
      <c r="N41" t="str">
        <f t="shared" si="4"/>
        <v>,53,'Fail','Adequate',Null,'Excellent','Satisfactory','Excellent','Fair');</v>
      </c>
      <c r="O41" t="str">
        <f t="shared" si="5"/>
        <v>Insert Into Inspection Values(2881,109,'13-Nov-2024',53,'Fail','Adequate',Null,'Excellent','Satisfactory','Excellent','Fair');</v>
      </c>
    </row>
    <row r="42" spans="1:15" x14ac:dyDescent="0.3">
      <c r="A42">
        <v>3747</v>
      </c>
      <c r="B42">
        <v>110</v>
      </c>
      <c r="C42" s="8">
        <v>45544.91746289868</v>
      </c>
      <c r="D42">
        <v>88</v>
      </c>
      <c r="E42" t="s">
        <v>138</v>
      </c>
      <c r="F42" t="s">
        <v>137</v>
      </c>
      <c r="G42" s="6" t="s">
        <v>135</v>
      </c>
      <c r="H42" t="s">
        <v>132</v>
      </c>
      <c r="I42" t="s">
        <v>139</v>
      </c>
      <c r="J42" t="s">
        <v>132</v>
      </c>
      <c r="K42" t="s">
        <v>129</v>
      </c>
      <c r="M42" t="str">
        <f t="shared" si="3"/>
        <v>Insert Into Inspection Values(3747,110,'09-Sep-2024'</v>
      </c>
      <c r="N42" t="str">
        <f t="shared" si="4"/>
        <v>,88,'Fail','Adequate',Null,'Excellent','Very Clean','Excellent','Satisfactory');</v>
      </c>
      <c r="O42" t="str">
        <f t="shared" si="5"/>
        <v>Insert Into Inspection Values(3747,110,'09-Sep-2024',88,'Fail','Adequate',Null,'Excellent','Very Clean','Excellent','Satisfactory');</v>
      </c>
    </row>
    <row r="43" spans="1:15" x14ac:dyDescent="0.3">
      <c r="A43">
        <v>7025</v>
      </c>
      <c r="B43">
        <v>111</v>
      </c>
      <c r="C43" s="8">
        <v>45421.917462898768</v>
      </c>
      <c r="D43">
        <v>58</v>
      </c>
      <c r="E43" t="s">
        <v>138</v>
      </c>
      <c r="F43" t="s">
        <v>137</v>
      </c>
      <c r="G43" s="6">
        <v>100</v>
      </c>
      <c r="H43" t="s">
        <v>133</v>
      </c>
      <c r="I43" t="s">
        <v>129</v>
      </c>
      <c r="J43" t="s">
        <v>133</v>
      </c>
      <c r="K43" t="s">
        <v>136</v>
      </c>
      <c r="M43" t="str">
        <f t="shared" si="3"/>
        <v>Insert Into Inspection Values(7025,111,'09-May-2024'</v>
      </c>
      <c r="N43" t="str">
        <f t="shared" si="4"/>
        <v>,58,'Fail','Adequate',100,'Poor','Satisfactory','Poor','Fair');</v>
      </c>
      <c r="O43" t="str">
        <f t="shared" si="5"/>
        <v>Insert Into Inspection Values(7025,111,'09-May-2024',58,'Fail','Adequate',100,'Poor','Satisfactory','Poor','Fair');</v>
      </c>
    </row>
    <row r="44" spans="1:15" x14ac:dyDescent="0.3">
      <c r="A44">
        <v>3532</v>
      </c>
      <c r="B44">
        <v>112</v>
      </c>
      <c r="C44" s="8">
        <v>45601.917462898877</v>
      </c>
      <c r="D44">
        <v>87</v>
      </c>
      <c r="E44" t="s">
        <v>138</v>
      </c>
      <c r="F44" t="s">
        <v>133</v>
      </c>
      <c r="G44" s="6">
        <v>500</v>
      </c>
      <c r="H44" t="s">
        <v>132</v>
      </c>
      <c r="I44" t="s">
        <v>129</v>
      </c>
      <c r="J44" t="s">
        <v>130</v>
      </c>
      <c r="K44" t="s">
        <v>136</v>
      </c>
      <c r="M44" t="str">
        <f t="shared" si="3"/>
        <v>Insert Into Inspection Values(3532,112,'05-Nov-2024'</v>
      </c>
      <c r="N44" t="str">
        <f t="shared" si="4"/>
        <v>,87,'Fail','Poor',500,'Excellent','Satisfactory','Good','Fair');</v>
      </c>
      <c r="O44" t="str">
        <f t="shared" si="5"/>
        <v>Insert Into Inspection Values(3532,112,'05-Nov-2024',87,'Fail','Poor',500,'Excellent','Satisfactory','Good','Fair');</v>
      </c>
    </row>
    <row r="45" spans="1:15" x14ac:dyDescent="0.3">
      <c r="A45">
        <v>5132</v>
      </c>
      <c r="B45">
        <v>113</v>
      </c>
      <c r="C45" s="8">
        <v>45256.917462898979</v>
      </c>
      <c r="D45">
        <v>77</v>
      </c>
      <c r="E45" t="s">
        <v>138</v>
      </c>
      <c r="F45" t="s">
        <v>137</v>
      </c>
      <c r="G45" s="6">
        <v>100</v>
      </c>
      <c r="H45" t="s">
        <v>130</v>
      </c>
      <c r="I45" t="s">
        <v>139</v>
      </c>
      <c r="J45" t="s">
        <v>132</v>
      </c>
      <c r="K45" t="s">
        <v>132</v>
      </c>
      <c r="M45" t="str">
        <f t="shared" si="3"/>
        <v>Insert Into Inspection Values(5132,113,'26-Nov-2023'</v>
      </c>
      <c r="N45" t="str">
        <f t="shared" si="4"/>
        <v>,77,'Fail','Adequate',100,'Good','Very Clean','Excellent','Excellent');</v>
      </c>
      <c r="O45" t="str">
        <f t="shared" si="5"/>
        <v>Insert Into Inspection Values(5132,113,'26-Nov-2023',77,'Fail','Adequate',100,'Good','Very Clean','Excellent','Excellent');</v>
      </c>
    </row>
    <row r="46" spans="1:15" x14ac:dyDescent="0.3">
      <c r="A46">
        <v>1149</v>
      </c>
      <c r="B46">
        <v>114</v>
      </c>
      <c r="C46" s="8">
        <v>45421.917462899168</v>
      </c>
      <c r="D46">
        <v>93</v>
      </c>
      <c r="E46" t="s">
        <v>138</v>
      </c>
      <c r="F46" t="s">
        <v>133</v>
      </c>
      <c r="G46" s="6" t="s">
        <v>135</v>
      </c>
      <c r="H46" t="s">
        <v>133</v>
      </c>
      <c r="I46" t="s">
        <v>139</v>
      </c>
      <c r="J46" t="s">
        <v>133</v>
      </c>
      <c r="K46" t="s">
        <v>132</v>
      </c>
      <c r="M46" t="str">
        <f t="shared" si="3"/>
        <v>Insert Into Inspection Values(1149,114,'09-May-2024'</v>
      </c>
      <c r="N46" t="str">
        <f t="shared" si="4"/>
        <v>,93,'Fail','Poor',Null,'Poor','Very Clean','Poor','Excellent');</v>
      </c>
      <c r="O46" t="str">
        <f t="shared" si="5"/>
        <v>Insert Into Inspection Values(1149,114,'09-May-2024',93,'Fail','Poor',Null,'Poor','Very Clean','Poor','Excellent');</v>
      </c>
    </row>
    <row r="47" spans="1:15" x14ac:dyDescent="0.3">
      <c r="A47">
        <v>9241</v>
      </c>
      <c r="B47">
        <v>115</v>
      </c>
      <c r="C47" s="8">
        <v>45405.917462899211</v>
      </c>
      <c r="D47">
        <v>68</v>
      </c>
      <c r="E47" t="s">
        <v>134</v>
      </c>
      <c r="F47" t="s">
        <v>133</v>
      </c>
      <c r="G47" s="6" t="s">
        <v>135</v>
      </c>
      <c r="H47" t="s">
        <v>132</v>
      </c>
      <c r="I47" t="s">
        <v>131</v>
      </c>
      <c r="J47" t="s">
        <v>132</v>
      </c>
      <c r="K47" t="s">
        <v>136</v>
      </c>
      <c r="M47" t="str">
        <f t="shared" si="3"/>
        <v>Insert Into Inspection Values(9241,115,'23-Apr-2024'</v>
      </c>
      <c r="N47" t="str">
        <f t="shared" si="4"/>
        <v>,68,'Pass','Poor',Null,'Excellent','Very Dirty','Excellent','Fair');</v>
      </c>
      <c r="O47" t="str">
        <f t="shared" si="5"/>
        <v>Insert Into Inspection Values(9241,115,'23-Apr-2024',68,'Pass','Poor',Null,'Excellent','Very Dirty','Excellent','Fair');</v>
      </c>
    </row>
    <row r="48" spans="1:15" x14ac:dyDescent="0.3">
      <c r="A48">
        <v>1364</v>
      </c>
      <c r="B48">
        <v>116</v>
      </c>
      <c r="C48" s="8">
        <v>45441.91746289927</v>
      </c>
      <c r="D48">
        <v>96</v>
      </c>
      <c r="E48" t="s">
        <v>134</v>
      </c>
      <c r="F48" t="s">
        <v>136</v>
      </c>
      <c r="G48" s="6" t="s">
        <v>135</v>
      </c>
      <c r="H48" t="s">
        <v>132</v>
      </c>
      <c r="I48" t="s">
        <v>131</v>
      </c>
      <c r="J48" t="s">
        <v>132</v>
      </c>
      <c r="K48" t="s">
        <v>129</v>
      </c>
      <c r="M48" t="str">
        <f t="shared" si="3"/>
        <v>Insert Into Inspection Values(1364,116,'29-May-2024'</v>
      </c>
      <c r="N48" t="str">
        <f t="shared" si="4"/>
        <v>,96,'Pass','Fair',Null,'Excellent','Very Dirty','Excellent','Satisfactory');</v>
      </c>
      <c r="O48" t="str">
        <f t="shared" si="5"/>
        <v>Insert Into Inspection Values(1364,116,'29-May-2024',96,'Pass','Fair',Null,'Excellent','Very Dirty','Excellent','Satisfactory');</v>
      </c>
    </row>
    <row r="49" spans="1:15" x14ac:dyDescent="0.3">
      <c r="A49">
        <v>8887</v>
      </c>
      <c r="B49">
        <v>117</v>
      </c>
      <c r="C49" s="8">
        <v>45385.917462899321</v>
      </c>
      <c r="D49">
        <v>54</v>
      </c>
      <c r="E49" t="s">
        <v>138</v>
      </c>
      <c r="F49" t="s">
        <v>137</v>
      </c>
      <c r="G49" s="6">
        <v>500</v>
      </c>
      <c r="H49" t="s">
        <v>130</v>
      </c>
      <c r="I49" t="s">
        <v>131</v>
      </c>
      <c r="J49" t="s">
        <v>132</v>
      </c>
      <c r="K49" t="s">
        <v>129</v>
      </c>
      <c r="M49" t="str">
        <f t="shared" si="3"/>
        <v>Insert Into Inspection Values(8887,117,'03-Apr-2024'</v>
      </c>
      <c r="N49" t="str">
        <f t="shared" si="4"/>
        <v>,54,'Fail','Adequate',500,'Good','Very Dirty','Excellent','Satisfactory');</v>
      </c>
      <c r="O49" t="str">
        <f t="shared" si="5"/>
        <v>Insert Into Inspection Values(8887,117,'03-Apr-2024',54,'Fail','Adequate',500,'Good','Very Dirty','Excellent','Satisfactory');</v>
      </c>
    </row>
    <row r="50" spans="1:15" x14ac:dyDescent="0.3">
      <c r="A50">
        <v>3600</v>
      </c>
      <c r="B50">
        <v>118</v>
      </c>
      <c r="C50" s="8">
        <v>45262.917462899371</v>
      </c>
      <c r="D50">
        <v>90</v>
      </c>
      <c r="E50" t="s">
        <v>138</v>
      </c>
      <c r="F50" t="s">
        <v>137</v>
      </c>
      <c r="G50" s="6" t="s">
        <v>135</v>
      </c>
      <c r="H50" t="s">
        <v>130</v>
      </c>
      <c r="I50" t="s">
        <v>139</v>
      </c>
      <c r="J50" t="s">
        <v>130</v>
      </c>
      <c r="K50" t="s">
        <v>136</v>
      </c>
      <c r="M50" t="str">
        <f t="shared" si="3"/>
        <v>Insert Into Inspection Values(3600,118,'02-Dec-2023'</v>
      </c>
      <c r="N50" t="str">
        <f t="shared" si="4"/>
        <v>,90,'Fail','Adequate',Null,'Good','Very Clean','Good','Fair');</v>
      </c>
      <c r="O50" t="str">
        <f t="shared" si="5"/>
        <v>Insert Into Inspection Values(3600,118,'02-Dec-2023',90,'Fail','Adequate',Null,'Good','Very Clean','Good','Fair');</v>
      </c>
    </row>
    <row r="51" spans="1:15" x14ac:dyDescent="0.3">
      <c r="A51">
        <v>5387</v>
      </c>
      <c r="B51">
        <v>119</v>
      </c>
      <c r="C51" s="8">
        <v>45514.917462899422</v>
      </c>
      <c r="D51">
        <v>79</v>
      </c>
      <c r="E51" t="s">
        <v>138</v>
      </c>
      <c r="F51" t="s">
        <v>133</v>
      </c>
      <c r="G51" s="6" t="s">
        <v>135</v>
      </c>
      <c r="H51" t="s">
        <v>132</v>
      </c>
      <c r="I51" t="s">
        <v>139</v>
      </c>
      <c r="J51" t="s">
        <v>132</v>
      </c>
      <c r="K51" t="s">
        <v>129</v>
      </c>
      <c r="M51" t="str">
        <f t="shared" si="3"/>
        <v>Insert Into Inspection Values(5387,119,'10-Aug-2024'</v>
      </c>
      <c r="N51" t="str">
        <f t="shared" si="4"/>
        <v>,79,'Fail','Poor',Null,'Excellent','Very Clean','Excellent','Satisfactory');</v>
      </c>
      <c r="O51" t="str">
        <f t="shared" si="5"/>
        <v>Insert Into Inspection Values(5387,119,'10-Aug-2024',79,'Fail','Poor',Null,'Excellent','Very Clean','Excellent','Satisfactory');</v>
      </c>
    </row>
    <row r="52" spans="1:15" x14ac:dyDescent="0.3">
      <c r="A52">
        <v>1705</v>
      </c>
      <c r="B52">
        <v>120</v>
      </c>
      <c r="C52" s="8">
        <v>45370.917462899488</v>
      </c>
      <c r="D52">
        <v>70</v>
      </c>
      <c r="E52" t="s">
        <v>134</v>
      </c>
      <c r="F52" t="s">
        <v>137</v>
      </c>
      <c r="G52" s="6">
        <v>100</v>
      </c>
      <c r="H52" t="s">
        <v>132</v>
      </c>
      <c r="I52" t="s">
        <v>131</v>
      </c>
      <c r="J52" t="s">
        <v>132</v>
      </c>
      <c r="K52" t="s">
        <v>136</v>
      </c>
      <c r="M52" t="str">
        <f t="shared" si="3"/>
        <v>Insert Into Inspection Values(1705,120,'19-Mar-2024'</v>
      </c>
      <c r="N52" t="str">
        <f t="shared" si="4"/>
        <v>,70,'Pass','Adequate',100,'Excellent','Very Dirty','Excellent','Fair');</v>
      </c>
      <c r="O52" t="str">
        <f t="shared" si="5"/>
        <v>Insert Into Inspection Values(1705,120,'19-Mar-2024',70,'Pass','Adequate',100,'Excellent','Very Dirty','Excellent','Fair');</v>
      </c>
    </row>
    <row r="53" spans="1:15" x14ac:dyDescent="0.3">
      <c r="A53">
        <v>6638</v>
      </c>
      <c r="B53">
        <v>121</v>
      </c>
      <c r="C53" s="8">
        <v>45265.917462899582</v>
      </c>
      <c r="D53">
        <v>61</v>
      </c>
      <c r="E53" t="s">
        <v>138</v>
      </c>
      <c r="F53" t="s">
        <v>133</v>
      </c>
      <c r="G53" s="6" t="s">
        <v>135</v>
      </c>
      <c r="H53" t="s">
        <v>132</v>
      </c>
      <c r="I53" t="s">
        <v>139</v>
      </c>
      <c r="J53" t="s">
        <v>130</v>
      </c>
      <c r="K53" t="s">
        <v>136</v>
      </c>
      <c r="M53" t="str">
        <f t="shared" si="3"/>
        <v>Insert Into Inspection Values(6638,121,'05-Dec-2023'</v>
      </c>
      <c r="N53" t="str">
        <f t="shared" si="4"/>
        <v>,61,'Fail','Poor',Null,'Excellent','Very Clean','Good','Fair');</v>
      </c>
      <c r="O53" t="str">
        <f t="shared" si="5"/>
        <v>Insert Into Inspection Values(6638,121,'05-Dec-2023',61,'Fail','Poor',Null,'Excellent','Very Clean','Good','Fair');</v>
      </c>
    </row>
    <row r="54" spans="1:15" x14ac:dyDescent="0.3">
      <c r="A54">
        <v>6865</v>
      </c>
      <c r="B54">
        <v>122</v>
      </c>
      <c r="C54" s="8">
        <v>45520.917462899662</v>
      </c>
      <c r="D54">
        <v>96</v>
      </c>
      <c r="E54" t="s">
        <v>134</v>
      </c>
      <c r="F54" t="s">
        <v>133</v>
      </c>
      <c r="G54" s="6">
        <v>300</v>
      </c>
      <c r="H54" t="s">
        <v>132</v>
      </c>
      <c r="I54" t="s">
        <v>139</v>
      </c>
      <c r="J54" t="s">
        <v>130</v>
      </c>
      <c r="K54" t="s">
        <v>129</v>
      </c>
      <c r="M54" t="str">
        <f t="shared" si="3"/>
        <v>Insert Into Inspection Values(6865,122,'16-Aug-2024'</v>
      </c>
      <c r="N54" t="str">
        <f t="shared" si="4"/>
        <v>,96,'Pass','Poor',300,'Excellent','Very Clean','Good','Satisfactory');</v>
      </c>
      <c r="O54" t="str">
        <f t="shared" si="5"/>
        <v>Insert Into Inspection Values(6865,122,'16-Aug-2024',96,'Pass','Poor',300,'Excellent','Very Clean','Good','Satisfactory');</v>
      </c>
    </row>
    <row r="55" spans="1:15" x14ac:dyDescent="0.3">
      <c r="A55">
        <v>9781</v>
      </c>
      <c r="B55">
        <v>123</v>
      </c>
      <c r="C55" s="8">
        <v>45326.917462899881</v>
      </c>
      <c r="D55">
        <v>85</v>
      </c>
      <c r="E55" t="s">
        <v>138</v>
      </c>
      <c r="F55" t="s">
        <v>136</v>
      </c>
      <c r="G55" s="6">
        <v>500</v>
      </c>
      <c r="H55" t="s">
        <v>133</v>
      </c>
      <c r="I55" t="s">
        <v>139</v>
      </c>
      <c r="J55" t="s">
        <v>133</v>
      </c>
      <c r="K55" t="s">
        <v>129</v>
      </c>
      <c r="M55" t="str">
        <f t="shared" si="3"/>
        <v>Insert Into Inspection Values(9781,123,'04-Feb-2024'</v>
      </c>
      <c r="N55" t="str">
        <f t="shared" si="4"/>
        <v>,85,'Fail','Fair',500,'Poor','Very Clean','Poor','Satisfactory');</v>
      </c>
      <c r="O55" t="str">
        <f t="shared" si="5"/>
        <v>Insert Into Inspection Values(9781,123,'04-Feb-2024',85,'Fail','Fair',500,'Poor','Very Clean','Poor','Satisfactory');</v>
      </c>
    </row>
    <row r="56" spans="1:15" x14ac:dyDescent="0.3">
      <c r="A56">
        <v>9072</v>
      </c>
      <c r="B56">
        <v>124</v>
      </c>
      <c r="C56" s="8">
        <v>45546.917462899939</v>
      </c>
      <c r="D56">
        <v>50</v>
      </c>
      <c r="E56" t="s">
        <v>138</v>
      </c>
      <c r="F56" t="s">
        <v>133</v>
      </c>
      <c r="G56" s="6">
        <v>100</v>
      </c>
      <c r="H56" t="s">
        <v>133</v>
      </c>
      <c r="I56" t="s">
        <v>139</v>
      </c>
      <c r="J56" t="s">
        <v>133</v>
      </c>
      <c r="K56" t="s">
        <v>129</v>
      </c>
      <c r="M56" t="str">
        <f t="shared" si="3"/>
        <v>Insert Into Inspection Values(9072,124,'11-Sep-2024'</v>
      </c>
      <c r="N56" t="str">
        <f t="shared" si="4"/>
        <v>,50,'Fail','Poor',100,'Poor','Very Clean','Poor','Satisfactory');</v>
      </c>
      <c r="O56" t="str">
        <f t="shared" si="5"/>
        <v>Insert Into Inspection Values(9072,124,'11-Sep-2024',50,'Fail','Poor',100,'Poor','Very Clean','Poor','Satisfactory');</v>
      </c>
    </row>
    <row r="57" spans="1:15" x14ac:dyDescent="0.3">
      <c r="A57">
        <v>6337</v>
      </c>
      <c r="B57">
        <v>125</v>
      </c>
      <c r="C57" s="8">
        <v>45587.91746289999</v>
      </c>
      <c r="D57">
        <v>57</v>
      </c>
      <c r="E57" t="s">
        <v>134</v>
      </c>
      <c r="F57" t="s">
        <v>137</v>
      </c>
      <c r="G57" s="6" t="s">
        <v>135</v>
      </c>
      <c r="H57" t="s">
        <v>132</v>
      </c>
      <c r="I57" t="s">
        <v>139</v>
      </c>
      <c r="J57" t="s">
        <v>132</v>
      </c>
      <c r="K57" t="s">
        <v>132</v>
      </c>
      <c r="M57" t="str">
        <f t="shared" si="3"/>
        <v>Insert Into Inspection Values(6337,125,'22-Oct-2024'</v>
      </c>
      <c r="N57" t="str">
        <f t="shared" si="4"/>
        <v>,57,'Pass','Adequate',Null,'Excellent','Very Clean','Excellent','Excellent');</v>
      </c>
      <c r="O57" t="str">
        <f t="shared" si="5"/>
        <v>Insert Into Inspection Values(6337,125,'22-Oct-2024',57,'Pass','Adequate',Null,'Excellent','Very Clean','Excellent','Excellent');</v>
      </c>
    </row>
    <row r="58" spans="1:15" x14ac:dyDescent="0.3">
      <c r="A58">
        <v>4009</v>
      </c>
      <c r="B58">
        <v>126</v>
      </c>
      <c r="C58" s="8">
        <v>45513.917462900048</v>
      </c>
      <c r="D58">
        <v>80</v>
      </c>
      <c r="E58" t="s">
        <v>134</v>
      </c>
      <c r="F58" t="s">
        <v>133</v>
      </c>
      <c r="G58" s="6">
        <v>100</v>
      </c>
      <c r="H58" t="s">
        <v>130</v>
      </c>
      <c r="I58" t="s">
        <v>139</v>
      </c>
      <c r="J58" t="s">
        <v>132</v>
      </c>
      <c r="K58" t="s">
        <v>129</v>
      </c>
      <c r="M58" t="str">
        <f t="shared" si="3"/>
        <v>Insert Into Inspection Values(4009,126,'09-Aug-2024'</v>
      </c>
      <c r="N58" t="str">
        <f t="shared" si="4"/>
        <v>,80,'Pass','Poor',100,'Good','Very Clean','Excellent','Satisfactory');</v>
      </c>
      <c r="O58" t="str">
        <f t="shared" si="5"/>
        <v>Insert Into Inspection Values(4009,126,'09-Aug-2024',80,'Pass','Poor',100,'Good','Very Clean','Excellent','Satisfactory');</v>
      </c>
    </row>
    <row r="59" spans="1:15" x14ac:dyDescent="0.3">
      <c r="A59">
        <v>8744</v>
      </c>
      <c r="B59">
        <v>127</v>
      </c>
      <c r="C59" s="8">
        <v>45550.917462900114</v>
      </c>
      <c r="D59">
        <v>58</v>
      </c>
      <c r="E59" t="s">
        <v>138</v>
      </c>
      <c r="F59" t="s">
        <v>133</v>
      </c>
      <c r="G59" s="6">
        <v>200</v>
      </c>
      <c r="H59" t="s">
        <v>133</v>
      </c>
      <c r="I59" t="s">
        <v>129</v>
      </c>
      <c r="J59" t="s">
        <v>130</v>
      </c>
      <c r="K59" t="s">
        <v>132</v>
      </c>
      <c r="M59" t="str">
        <f t="shared" si="3"/>
        <v>Insert Into Inspection Values(8744,127,'15-Sep-2024'</v>
      </c>
      <c r="N59" t="str">
        <f t="shared" si="4"/>
        <v>,58,'Fail','Poor',200,'Poor','Satisfactory','Good','Excellent');</v>
      </c>
      <c r="O59" t="str">
        <f t="shared" si="5"/>
        <v>Insert Into Inspection Values(8744,127,'15-Sep-2024',58,'Fail','Poor',200,'Poor','Satisfactory','Good','Excellent');</v>
      </c>
    </row>
    <row r="60" spans="1:15" x14ac:dyDescent="0.3">
      <c r="A60">
        <v>1506</v>
      </c>
      <c r="B60">
        <v>128</v>
      </c>
      <c r="C60" s="8">
        <v>45486.917462900208</v>
      </c>
      <c r="D60">
        <v>75</v>
      </c>
      <c r="E60" t="s">
        <v>134</v>
      </c>
      <c r="F60" t="s">
        <v>137</v>
      </c>
      <c r="G60" s="6">
        <v>100</v>
      </c>
      <c r="H60" t="s">
        <v>133</v>
      </c>
      <c r="I60" t="s">
        <v>129</v>
      </c>
      <c r="J60" t="s">
        <v>132</v>
      </c>
      <c r="K60" t="s">
        <v>136</v>
      </c>
      <c r="M60" t="str">
        <f t="shared" si="3"/>
        <v>Insert Into Inspection Values(1506,128,'13-Jul-2024'</v>
      </c>
      <c r="N60" t="str">
        <f t="shared" si="4"/>
        <v>,75,'Pass','Adequate',100,'Poor','Satisfactory','Excellent','Fair');</v>
      </c>
      <c r="O60" t="str">
        <f t="shared" si="5"/>
        <v>Insert Into Inspection Values(1506,128,'13-Jul-2024',75,'Pass','Adequate',100,'Poor','Satisfactory','Excellent','Fair');</v>
      </c>
    </row>
    <row r="61" spans="1:15" x14ac:dyDescent="0.3">
      <c r="A61">
        <v>3100</v>
      </c>
      <c r="B61">
        <v>129</v>
      </c>
      <c r="C61" s="8">
        <v>45528.917462900303</v>
      </c>
      <c r="D61">
        <v>77</v>
      </c>
      <c r="E61" t="s">
        <v>134</v>
      </c>
      <c r="F61" t="s">
        <v>136</v>
      </c>
      <c r="G61" s="6">
        <v>100</v>
      </c>
      <c r="H61" t="s">
        <v>133</v>
      </c>
      <c r="I61" t="s">
        <v>129</v>
      </c>
      <c r="J61" t="s">
        <v>133</v>
      </c>
      <c r="K61" t="s">
        <v>129</v>
      </c>
      <c r="M61" t="str">
        <f t="shared" si="3"/>
        <v>Insert Into Inspection Values(3100,129,'24-Aug-2024'</v>
      </c>
      <c r="N61" t="str">
        <f t="shared" si="4"/>
        <v>,77,'Pass','Fair',100,'Poor','Satisfactory','Poor','Satisfactory');</v>
      </c>
      <c r="O61" t="str">
        <f t="shared" si="5"/>
        <v>Insert Into Inspection Values(3100,129,'24-Aug-2024',77,'Pass','Fair',100,'Poor','Satisfactory','Poor','Satisfactory');</v>
      </c>
    </row>
    <row r="62" spans="1:15" x14ac:dyDescent="0.3">
      <c r="A62">
        <v>1595</v>
      </c>
      <c r="B62">
        <v>100</v>
      </c>
      <c r="C62" s="8">
        <v>45508.91746290039</v>
      </c>
      <c r="D62">
        <v>66</v>
      </c>
      <c r="E62" t="s">
        <v>138</v>
      </c>
      <c r="F62" t="s">
        <v>136</v>
      </c>
      <c r="G62" s="6">
        <v>200</v>
      </c>
      <c r="H62" t="s">
        <v>132</v>
      </c>
      <c r="I62" t="s">
        <v>139</v>
      </c>
      <c r="J62" t="s">
        <v>133</v>
      </c>
      <c r="K62" t="s">
        <v>132</v>
      </c>
      <c r="M62" t="str">
        <f t="shared" si="3"/>
        <v>Insert Into Inspection Values(1595,100,'04-Aug-2024'</v>
      </c>
      <c r="N62" t="str">
        <f t="shared" si="4"/>
        <v>,66,'Fail','Fair',200,'Excellent','Very Clean','Poor','Excellent');</v>
      </c>
      <c r="O62" t="str">
        <f t="shared" si="5"/>
        <v>Insert Into Inspection Values(1595,100,'04-Aug-2024',66,'Fail','Fair',200,'Excellent','Very Clean','Poor','Excellent');</v>
      </c>
    </row>
    <row r="63" spans="1:15" x14ac:dyDescent="0.3">
      <c r="A63">
        <v>7499</v>
      </c>
      <c r="B63">
        <v>101</v>
      </c>
      <c r="C63" s="8">
        <v>45592.917462900477</v>
      </c>
      <c r="D63">
        <v>89</v>
      </c>
      <c r="E63" t="s">
        <v>134</v>
      </c>
      <c r="F63" t="s">
        <v>137</v>
      </c>
      <c r="G63" s="6" t="s">
        <v>135</v>
      </c>
      <c r="H63" t="s">
        <v>130</v>
      </c>
      <c r="I63" t="s">
        <v>129</v>
      </c>
      <c r="J63" t="s">
        <v>130</v>
      </c>
      <c r="K63" t="s">
        <v>129</v>
      </c>
      <c r="M63" t="str">
        <f t="shared" si="3"/>
        <v>Insert Into Inspection Values(7499,101,'27-Oct-2024'</v>
      </c>
      <c r="N63" t="str">
        <f t="shared" si="4"/>
        <v>,89,'Pass','Adequate',Null,'Good','Satisfactory','Good','Satisfactory');</v>
      </c>
      <c r="O63" t="str">
        <f t="shared" si="5"/>
        <v>Insert Into Inspection Values(7499,101,'27-Oct-2024',89,'Pass','Adequate',Null,'Good','Satisfactory','Good','Satisfactory');</v>
      </c>
    </row>
    <row r="64" spans="1:15" x14ac:dyDescent="0.3">
      <c r="A64">
        <v>4831</v>
      </c>
      <c r="B64">
        <v>102</v>
      </c>
      <c r="C64" s="8">
        <v>45330.917462900667</v>
      </c>
      <c r="D64">
        <v>51</v>
      </c>
      <c r="E64" t="s">
        <v>138</v>
      </c>
      <c r="F64" t="s">
        <v>136</v>
      </c>
      <c r="G64" s="6" t="s">
        <v>135</v>
      </c>
      <c r="H64" t="s">
        <v>132</v>
      </c>
      <c r="I64" t="s">
        <v>139</v>
      </c>
      <c r="J64" t="s">
        <v>132</v>
      </c>
      <c r="K64" t="s">
        <v>132</v>
      </c>
      <c r="M64" t="str">
        <f t="shared" si="3"/>
        <v>Insert Into Inspection Values(4831,102,'08-Feb-2024'</v>
      </c>
      <c r="N64" t="str">
        <f t="shared" si="4"/>
        <v>,51,'Fail','Fair',Null,'Excellent','Very Clean','Excellent','Excellent');</v>
      </c>
      <c r="O64" t="str">
        <f t="shared" si="5"/>
        <v>Insert Into Inspection Values(4831,102,'08-Feb-2024',51,'Fail','Fair',Null,'Excellent','Very Clean','Excellent','Excellent');</v>
      </c>
    </row>
    <row r="65" spans="1:15" x14ac:dyDescent="0.3">
      <c r="A65">
        <v>5350</v>
      </c>
      <c r="B65">
        <v>103</v>
      </c>
      <c r="C65" s="8">
        <v>45364.917462900732</v>
      </c>
      <c r="D65">
        <v>53</v>
      </c>
      <c r="E65" t="s">
        <v>138</v>
      </c>
      <c r="F65" t="s">
        <v>133</v>
      </c>
      <c r="G65" s="6">
        <v>100</v>
      </c>
      <c r="H65" t="s">
        <v>133</v>
      </c>
      <c r="I65" t="s">
        <v>131</v>
      </c>
      <c r="J65" t="s">
        <v>133</v>
      </c>
      <c r="K65" t="s">
        <v>129</v>
      </c>
      <c r="M65" t="str">
        <f t="shared" si="3"/>
        <v>Insert Into Inspection Values(5350,103,'13-Mar-2024'</v>
      </c>
      <c r="N65" t="str">
        <f t="shared" si="4"/>
        <v>,53,'Fail','Poor',100,'Poor','Very Dirty','Poor','Satisfactory');</v>
      </c>
      <c r="O65" t="str">
        <f t="shared" si="5"/>
        <v>Insert Into Inspection Values(5350,103,'13-Mar-2024',53,'Fail','Poor',100,'Poor','Very Dirty','Poor','Satisfactory');</v>
      </c>
    </row>
    <row r="66" spans="1:15" x14ac:dyDescent="0.3">
      <c r="A66">
        <v>5542</v>
      </c>
      <c r="B66">
        <v>104</v>
      </c>
      <c r="C66" s="8">
        <v>45408.91746290079</v>
      </c>
      <c r="D66">
        <v>66</v>
      </c>
      <c r="E66" t="s">
        <v>134</v>
      </c>
      <c r="F66" t="s">
        <v>137</v>
      </c>
      <c r="G66" s="6">
        <v>500</v>
      </c>
      <c r="H66" t="s">
        <v>133</v>
      </c>
      <c r="I66" t="s">
        <v>139</v>
      </c>
      <c r="J66" t="s">
        <v>130</v>
      </c>
      <c r="K66" t="s">
        <v>129</v>
      </c>
      <c r="M66" t="str">
        <f t="shared" ref="M66:M71" si="6">CONCATENATE("Insert Into Inspection Values(",A66,",",B66,",'",TEXT(C66,"DD-MMM-YYYY"),"'")</f>
        <v>Insert Into Inspection Values(5542,104,'26-Apr-2024'</v>
      </c>
      <c r="N66" t="str">
        <f t="shared" ref="N66:N71" si="7">","&amp;D66&amp;",'"&amp;E66&amp;"','"&amp;F66&amp;"',"&amp;G66&amp;",'"&amp;H66&amp;"','"&amp;I66&amp;"','"&amp;J66&amp;"','"&amp;K66&amp;"');"</f>
        <v>,66,'Pass','Adequate',500,'Poor','Very Clean','Good','Satisfactory');</v>
      </c>
      <c r="O66" t="str">
        <f t="shared" ref="O66:O71" si="8">CONCATENATE(M66,N66)</f>
        <v>Insert Into Inspection Values(5542,104,'26-Apr-2024',66,'Pass','Adequate',500,'Poor','Very Clean','Good','Satisfactory');</v>
      </c>
    </row>
    <row r="67" spans="1:15" x14ac:dyDescent="0.3">
      <c r="A67">
        <v>4670</v>
      </c>
      <c r="B67">
        <v>105</v>
      </c>
      <c r="C67" s="8">
        <v>45316.917462900848</v>
      </c>
      <c r="D67">
        <v>89</v>
      </c>
      <c r="E67" t="s">
        <v>138</v>
      </c>
      <c r="F67" t="s">
        <v>136</v>
      </c>
      <c r="G67" s="6" t="s">
        <v>135</v>
      </c>
      <c r="H67" t="s">
        <v>130</v>
      </c>
      <c r="I67" t="s">
        <v>139</v>
      </c>
      <c r="J67" t="s">
        <v>133</v>
      </c>
      <c r="K67" t="s">
        <v>132</v>
      </c>
      <c r="M67" t="str">
        <f t="shared" si="6"/>
        <v>Insert Into Inspection Values(4670,105,'25-Jan-2024'</v>
      </c>
      <c r="N67" t="str">
        <f t="shared" si="7"/>
        <v>,89,'Fail','Fair',Null,'Good','Very Clean','Poor','Excellent');</v>
      </c>
      <c r="O67" t="str">
        <f t="shared" si="8"/>
        <v>Insert Into Inspection Values(4670,105,'25-Jan-2024',89,'Fail','Fair',Null,'Good','Very Clean','Poor','Excellent');</v>
      </c>
    </row>
    <row r="68" spans="1:15" x14ac:dyDescent="0.3">
      <c r="A68">
        <v>9005</v>
      </c>
      <c r="B68">
        <v>106</v>
      </c>
      <c r="C68" s="8">
        <v>45336.917462900907</v>
      </c>
      <c r="D68">
        <v>58</v>
      </c>
      <c r="E68" t="s">
        <v>138</v>
      </c>
      <c r="F68" t="s">
        <v>136</v>
      </c>
      <c r="G68" s="6">
        <v>100</v>
      </c>
      <c r="H68" t="s">
        <v>132</v>
      </c>
      <c r="I68" t="s">
        <v>131</v>
      </c>
      <c r="J68" t="s">
        <v>132</v>
      </c>
      <c r="K68" t="s">
        <v>136</v>
      </c>
      <c r="M68" t="str">
        <f t="shared" si="6"/>
        <v>Insert Into Inspection Values(9005,106,'14-Feb-2024'</v>
      </c>
      <c r="N68" t="str">
        <f t="shared" si="7"/>
        <v>,58,'Fail','Fair',100,'Excellent','Very Dirty','Excellent','Fair');</v>
      </c>
      <c r="O68" t="str">
        <f t="shared" si="8"/>
        <v>Insert Into Inspection Values(9005,106,'14-Feb-2024',58,'Fail','Fair',100,'Excellent','Very Dirty','Excellent','Fair');</v>
      </c>
    </row>
    <row r="69" spans="1:15" x14ac:dyDescent="0.3">
      <c r="A69">
        <v>2966</v>
      </c>
      <c r="B69">
        <v>107</v>
      </c>
      <c r="C69" s="8">
        <v>45318.917462900958</v>
      </c>
      <c r="D69">
        <v>55</v>
      </c>
      <c r="E69" t="s">
        <v>134</v>
      </c>
      <c r="F69" t="s">
        <v>137</v>
      </c>
      <c r="G69" s="6">
        <v>300</v>
      </c>
      <c r="H69" t="s">
        <v>130</v>
      </c>
      <c r="I69" t="s">
        <v>131</v>
      </c>
      <c r="J69" t="s">
        <v>130</v>
      </c>
      <c r="K69" t="s">
        <v>129</v>
      </c>
      <c r="M69" t="str">
        <f t="shared" si="6"/>
        <v>Insert Into Inspection Values(2966,107,'27-Jan-2024'</v>
      </c>
      <c r="N69" t="str">
        <f t="shared" si="7"/>
        <v>,55,'Pass','Adequate',300,'Good','Very Dirty','Good','Satisfactory');</v>
      </c>
      <c r="O69" t="str">
        <f t="shared" si="8"/>
        <v>Insert Into Inspection Values(2966,107,'27-Jan-2024',55,'Pass','Adequate',300,'Good','Very Dirty','Good','Satisfactory');</v>
      </c>
    </row>
    <row r="70" spans="1:15" x14ac:dyDescent="0.3">
      <c r="A70">
        <v>6661</v>
      </c>
      <c r="B70">
        <v>108</v>
      </c>
      <c r="C70" s="8">
        <v>45299.917462901023</v>
      </c>
      <c r="D70">
        <v>66</v>
      </c>
      <c r="E70" t="s">
        <v>134</v>
      </c>
      <c r="F70" t="s">
        <v>136</v>
      </c>
      <c r="G70" s="6" t="s">
        <v>135</v>
      </c>
      <c r="H70" t="s">
        <v>133</v>
      </c>
      <c r="I70" t="s">
        <v>131</v>
      </c>
      <c r="J70" t="s">
        <v>133</v>
      </c>
      <c r="K70" t="s">
        <v>129</v>
      </c>
      <c r="M70" t="str">
        <f t="shared" si="6"/>
        <v>Insert Into Inspection Values(6661,108,'08-Jan-2024'</v>
      </c>
      <c r="N70" t="str">
        <f t="shared" si="7"/>
        <v>,66,'Pass','Fair',Null,'Poor','Very Dirty','Poor','Satisfactory');</v>
      </c>
      <c r="O70" t="str">
        <f t="shared" si="8"/>
        <v>Insert Into Inspection Values(6661,108,'08-Jan-2024',66,'Pass','Fair',Null,'Poor','Very Dirty','Poor','Satisfactory');</v>
      </c>
    </row>
    <row r="71" spans="1:15" x14ac:dyDescent="0.3">
      <c r="A71">
        <v>5274</v>
      </c>
      <c r="B71">
        <v>109</v>
      </c>
      <c r="C71" s="8">
        <v>45460.917462901067</v>
      </c>
      <c r="D71">
        <v>83</v>
      </c>
      <c r="E71" t="s">
        <v>134</v>
      </c>
      <c r="F71" t="s">
        <v>133</v>
      </c>
      <c r="G71" s="6">
        <v>100</v>
      </c>
      <c r="H71" t="s">
        <v>132</v>
      </c>
      <c r="I71" t="s">
        <v>131</v>
      </c>
      <c r="J71" t="s">
        <v>130</v>
      </c>
      <c r="K71" t="s">
        <v>129</v>
      </c>
      <c r="M71" t="str">
        <f t="shared" si="6"/>
        <v>Insert Into Inspection Values(5274,109,'17-Jun-2024'</v>
      </c>
      <c r="N71" t="str">
        <f t="shared" si="7"/>
        <v>,83,'Pass','Poor',100,'Excellent','Very Dirty','Good','Satisfactory');</v>
      </c>
      <c r="O71" t="str">
        <f t="shared" si="8"/>
        <v>Insert Into Inspection Values(5274,109,'17-Jun-2024',83,'Pass','Poor',100,'Excellent','Very Dirty','Good','Satisfactory');</v>
      </c>
    </row>
    <row r="73" spans="1:15" x14ac:dyDescent="0.3">
      <c r="A73" cm="1">
        <f t="array" ref="A73:A142">LEN((A2:A71))</f>
        <v>4</v>
      </c>
    </row>
    <row r="74" spans="1:15" x14ac:dyDescent="0.3">
      <c r="A74">
        <v>4</v>
      </c>
    </row>
    <row r="75" spans="1:15" x14ac:dyDescent="0.3">
      <c r="A75">
        <v>4</v>
      </c>
    </row>
    <row r="76" spans="1:15" x14ac:dyDescent="0.3">
      <c r="A76">
        <v>4</v>
      </c>
    </row>
    <row r="77" spans="1:15" x14ac:dyDescent="0.3">
      <c r="A77">
        <v>4</v>
      </c>
    </row>
    <row r="78" spans="1:15" x14ac:dyDescent="0.3">
      <c r="A78">
        <v>4</v>
      </c>
    </row>
    <row r="79" spans="1:15" x14ac:dyDescent="0.3">
      <c r="A79">
        <v>4</v>
      </c>
    </row>
    <row r="80" spans="1:15" x14ac:dyDescent="0.3">
      <c r="A80">
        <v>4</v>
      </c>
    </row>
    <row r="81" spans="1:1" x14ac:dyDescent="0.3">
      <c r="A81">
        <v>4</v>
      </c>
    </row>
    <row r="82" spans="1:1" x14ac:dyDescent="0.3">
      <c r="A82">
        <v>4</v>
      </c>
    </row>
    <row r="83" spans="1:1" x14ac:dyDescent="0.3">
      <c r="A83">
        <v>4</v>
      </c>
    </row>
    <row r="84" spans="1:1" x14ac:dyDescent="0.3">
      <c r="A84">
        <v>4</v>
      </c>
    </row>
    <row r="85" spans="1:1" x14ac:dyDescent="0.3">
      <c r="A85">
        <v>4</v>
      </c>
    </row>
    <row r="86" spans="1:1" x14ac:dyDescent="0.3">
      <c r="A86">
        <v>4</v>
      </c>
    </row>
    <row r="87" spans="1:1" x14ac:dyDescent="0.3">
      <c r="A87">
        <v>4</v>
      </c>
    </row>
    <row r="88" spans="1:1" x14ac:dyDescent="0.3">
      <c r="A88">
        <v>4</v>
      </c>
    </row>
    <row r="89" spans="1:1" x14ac:dyDescent="0.3">
      <c r="A89">
        <v>4</v>
      </c>
    </row>
    <row r="90" spans="1:1" x14ac:dyDescent="0.3">
      <c r="A90">
        <v>4</v>
      </c>
    </row>
    <row r="91" spans="1:1" x14ac:dyDescent="0.3">
      <c r="A91">
        <v>4</v>
      </c>
    </row>
    <row r="92" spans="1:1" x14ac:dyDescent="0.3">
      <c r="A92">
        <v>4</v>
      </c>
    </row>
    <row r="93" spans="1:1" x14ac:dyDescent="0.3">
      <c r="A93">
        <v>4</v>
      </c>
    </row>
    <row r="94" spans="1:1" x14ac:dyDescent="0.3">
      <c r="A94">
        <v>4</v>
      </c>
    </row>
    <row r="95" spans="1:1" x14ac:dyDescent="0.3">
      <c r="A95">
        <v>4</v>
      </c>
    </row>
    <row r="96" spans="1:1" x14ac:dyDescent="0.3">
      <c r="A96">
        <v>4</v>
      </c>
    </row>
    <row r="97" spans="1:1" x14ac:dyDescent="0.3">
      <c r="A97">
        <v>4</v>
      </c>
    </row>
    <row r="98" spans="1:1" x14ac:dyDescent="0.3">
      <c r="A98">
        <v>4</v>
      </c>
    </row>
    <row r="99" spans="1:1" x14ac:dyDescent="0.3">
      <c r="A99">
        <v>4</v>
      </c>
    </row>
    <row r="100" spans="1:1" x14ac:dyDescent="0.3">
      <c r="A100">
        <v>4</v>
      </c>
    </row>
    <row r="101" spans="1:1" x14ac:dyDescent="0.3">
      <c r="A101">
        <v>4</v>
      </c>
    </row>
    <row r="102" spans="1:1" x14ac:dyDescent="0.3">
      <c r="A102">
        <v>4</v>
      </c>
    </row>
    <row r="103" spans="1:1" x14ac:dyDescent="0.3">
      <c r="A103">
        <v>4</v>
      </c>
    </row>
    <row r="104" spans="1:1" x14ac:dyDescent="0.3">
      <c r="A104">
        <v>4</v>
      </c>
    </row>
    <row r="105" spans="1:1" x14ac:dyDescent="0.3">
      <c r="A105">
        <v>4</v>
      </c>
    </row>
    <row r="106" spans="1:1" x14ac:dyDescent="0.3">
      <c r="A106">
        <v>4</v>
      </c>
    </row>
    <row r="107" spans="1:1" x14ac:dyDescent="0.3">
      <c r="A107">
        <v>4</v>
      </c>
    </row>
    <row r="108" spans="1:1" x14ac:dyDescent="0.3">
      <c r="A108">
        <v>4</v>
      </c>
    </row>
    <row r="109" spans="1:1" x14ac:dyDescent="0.3">
      <c r="A109">
        <v>4</v>
      </c>
    </row>
    <row r="110" spans="1:1" x14ac:dyDescent="0.3">
      <c r="A110">
        <v>4</v>
      </c>
    </row>
    <row r="111" spans="1:1" x14ac:dyDescent="0.3">
      <c r="A111">
        <v>4</v>
      </c>
    </row>
    <row r="112" spans="1:1" x14ac:dyDescent="0.3">
      <c r="A112">
        <v>4</v>
      </c>
    </row>
    <row r="113" spans="1:1" x14ac:dyDescent="0.3">
      <c r="A113">
        <v>4</v>
      </c>
    </row>
    <row r="114" spans="1:1" x14ac:dyDescent="0.3">
      <c r="A114">
        <v>4</v>
      </c>
    </row>
    <row r="115" spans="1:1" x14ac:dyDescent="0.3">
      <c r="A115">
        <v>4</v>
      </c>
    </row>
    <row r="116" spans="1:1" x14ac:dyDescent="0.3">
      <c r="A116">
        <v>4</v>
      </c>
    </row>
    <row r="117" spans="1:1" x14ac:dyDescent="0.3">
      <c r="A117">
        <v>4</v>
      </c>
    </row>
    <row r="118" spans="1:1" x14ac:dyDescent="0.3">
      <c r="A118">
        <v>4</v>
      </c>
    </row>
    <row r="119" spans="1:1" x14ac:dyDescent="0.3">
      <c r="A119">
        <v>4</v>
      </c>
    </row>
    <row r="120" spans="1:1" x14ac:dyDescent="0.3">
      <c r="A120">
        <v>4</v>
      </c>
    </row>
    <row r="121" spans="1:1" x14ac:dyDescent="0.3">
      <c r="A121">
        <v>4</v>
      </c>
    </row>
    <row r="122" spans="1:1" x14ac:dyDescent="0.3">
      <c r="A122">
        <v>4</v>
      </c>
    </row>
    <row r="123" spans="1:1" x14ac:dyDescent="0.3">
      <c r="A123">
        <v>4</v>
      </c>
    </row>
    <row r="124" spans="1:1" x14ac:dyDescent="0.3">
      <c r="A124">
        <v>4</v>
      </c>
    </row>
    <row r="125" spans="1:1" x14ac:dyDescent="0.3">
      <c r="A125">
        <v>4</v>
      </c>
    </row>
    <row r="126" spans="1:1" x14ac:dyDescent="0.3">
      <c r="A126">
        <v>4</v>
      </c>
    </row>
    <row r="127" spans="1:1" x14ac:dyDescent="0.3">
      <c r="A127">
        <v>4</v>
      </c>
    </row>
    <row r="128" spans="1:1" x14ac:dyDescent="0.3">
      <c r="A128">
        <v>4</v>
      </c>
    </row>
    <row r="129" spans="1:1" x14ac:dyDescent="0.3">
      <c r="A129">
        <v>4</v>
      </c>
    </row>
    <row r="130" spans="1:1" x14ac:dyDescent="0.3">
      <c r="A130">
        <v>4</v>
      </c>
    </row>
    <row r="131" spans="1:1" x14ac:dyDescent="0.3">
      <c r="A131">
        <v>4</v>
      </c>
    </row>
    <row r="132" spans="1:1" x14ac:dyDescent="0.3">
      <c r="A132">
        <v>4</v>
      </c>
    </row>
    <row r="133" spans="1:1" x14ac:dyDescent="0.3">
      <c r="A133">
        <v>4</v>
      </c>
    </row>
    <row r="134" spans="1:1" x14ac:dyDescent="0.3">
      <c r="A134">
        <v>4</v>
      </c>
    </row>
    <row r="135" spans="1:1" x14ac:dyDescent="0.3">
      <c r="A135">
        <v>4</v>
      </c>
    </row>
    <row r="136" spans="1:1" x14ac:dyDescent="0.3">
      <c r="A136">
        <v>4</v>
      </c>
    </row>
    <row r="137" spans="1:1" x14ac:dyDescent="0.3">
      <c r="A137">
        <v>4</v>
      </c>
    </row>
    <row r="138" spans="1:1" x14ac:dyDescent="0.3">
      <c r="A138">
        <v>4</v>
      </c>
    </row>
    <row r="139" spans="1:1" x14ac:dyDescent="0.3">
      <c r="A139">
        <v>4</v>
      </c>
    </row>
    <row r="140" spans="1:1" x14ac:dyDescent="0.3">
      <c r="A140">
        <v>4</v>
      </c>
    </row>
    <row r="141" spans="1:1" x14ac:dyDescent="0.3">
      <c r="A141">
        <v>4</v>
      </c>
    </row>
    <row r="142" spans="1:1" x14ac:dyDescent="0.3">
      <c r="A14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Hotel</vt:lpstr>
      <vt:lpstr>Inspection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Srisekhar yanikepalli</dc:creator>
  <cp:lastModifiedBy>Srisekhar yanikepalli</cp:lastModifiedBy>
  <dcterms:created xsi:type="dcterms:W3CDTF">2024-11-15T18:09:44Z</dcterms:created>
  <dcterms:modified xsi:type="dcterms:W3CDTF">2025-12-01T14:19:43Z</dcterms:modified>
</cp:coreProperties>
</file>